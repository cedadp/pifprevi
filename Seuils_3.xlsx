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13_ncr:1_{7BA31537-7D69-49AB-9B96-C3CB706CABDD}" xr6:coauthVersionLast="47" xr6:coauthVersionMax="47" xr10:uidLastSave="{00000000-0000-0000-0000-000000000000}"/>
  <bookViews>
    <workbookView xWindow="-120" yWindow="-120" windowWidth="29040" windowHeight="15720" xr2:uid="{9E9D8A27-0CD5-4635-A322-EB09015189B8}"/>
  </bookViews>
  <sheets>
    <sheet name="S26" sheetId="3" r:id="rId1"/>
    <sheet name="W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3" i="3" l="1" a="1"/>
  <c r="E33" i="3" s="1"/>
  <c r="E32" i="3" a="1"/>
  <c r="E32" i="3" s="1"/>
  <c r="E31" i="3" a="1"/>
  <c r="E31" i="3" s="1"/>
  <c r="E30" i="3" a="1"/>
  <c r="E30" i="3" s="1"/>
  <c r="E29" i="3" a="1"/>
  <c r="E29" i="3" s="1"/>
  <c r="E28" i="3" a="1"/>
  <c r="E28" i="3" s="1"/>
  <c r="E27" i="3" a="1"/>
  <c r="E27" i="3" s="1"/>
  <c r="E26" i="3" a="1"/>
  <c r="E26" i="3" s="1"/>
  <c r="E25" i="3" a="1"/>
  <c r="E25" i="3" s="1"/>
  <c r="E24" i="3" a="1"/>
  <c r="E24" i="3" s="1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7" i="3" a="1"/>
  <c r="E17" i="3" s="1"/>
  <c r="E16" i="3" a="1"/>
  <c r="E16" i="3" s="1"/>
  <c r="E15" i="3" a="1"/>
  <c r="E15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5" i="2" a="1"/>
  <c r="D25" i="2" s="1"/>
  <c r="D27" i="2" a="1"/>
  <c r="D27" i="2" s="1"/>
  <c r="D26" i="2" a="1"/>
  <c r="D26" i="2" s="1"/>
  <c r="E27" i="2" a="1"/>
  <c r="E27" i="2" s="1"/>
  <c r="E26" i="2" a="1"/>
  <c r="E26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E8" i="2" a="1"/>
  <c r="E8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E10" i="2" a="1"/>
  <c r="E10" i="2" s="1"/>
  <c r="E9" i="2" a="1"/>
  <c r="E9" i="2" s="1"/>
  <c r="E16" i="2" a="1"/>
  <c r="E16" i="2" s="1"/>
  <c r="E15" i="2" a="1"/>
  <c r="E15" i="2" s="1"/>
  <c r="E14" i="2" a="1"/>
  <c r="E14" i="2" s="1"/>
  <c r="E13" i="2" a="1"/>
  <c r="E13" i="2" s="1"/>
  <c r="E12" i="2" a="1"/>
  <c r="E12" i="2" s="1"/>
  <c r="E11" i="2" a="1"/>
  <c r="E11" i="2" s="1"/>
  <c r="E25" i="2" a="1"/>
  <c r="E25" i="2" s="1"/>
  <c r="E24" i="2" a="1"/>
  <c r="E24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D23" i="2" a="1"/>
  <c r="D23" i="2" s="1"/>
  <c r="E23" i="2" a="1"/>
  <c r="E23" i="2" s="1"/>
  <c r="D22" i="2" a="1"/>
  <c r="D22" i="2" s="1"/>
  <c r="E29" i="2" a="1"/>
  <c r="E29" i="2" s="1"/>
  <c r="E28" i="2" a="1"/>
  <c r="E28" i="2" s="1"/>
  <c r="D19" i="2" a="1"/>
  <c r="D19" i="2" s="1"/>
  <c r="E21" i="2" a="1"/>
  <c r="E21" i="2" s="1"/>
  <c r="D21" i="2" a="1"/>
  <c r="D21" i="2" s="1"/>
  <c r="E22" i="2" a="1"/>
  <c r="E22" i="2" s="1"/>
  <c r="D20" i="2" a="1"/>
  <c r="D20" i="2" s="1"/>
  <c r="E20" i="2" a="1"/>
  <c r="E20" i="2" s="1"/>
  <c r="E19" i="2" a="1"/>
  <c r="E19" i="2" s="1"/>
  <c r="D18" i="2" a="1"/>
  <c r="D18" i="2" s="1"/>
  <c r="D17" i="2" a="1"/>
  <c r="D17" i="2" s="1"/>
  <c r="E18" i="2" a="1"/>
  <c r="E18" i="2" s="1"/>
  <c r="E17" i="2" a="1"/>
  <c r="E17" i="2" s="1"/>
  <c r="D24" i="2" a="1"/>
  <c r="D24" i="2" s="1"/>
  <c r="D28" i="2" a="1"/>
  <c r="D28" i="2" s="1"/>
  <c r="D29" i="2" a="1"/>
  <c r="D29" i="2" s="1"/>
  <c r="B13" i="3" l="1" a="1"/>
  <c r="B13" i="3" s="1"/>
  <c r="B25" i="3" a="1"/>
  <c r="B25" i="3" s="1"/>
  <c r="B14" i="3" a="1"/>
  <c r="B14" i="3" s="1"/>
  <c r="B26" i="3" a="1"/>
  <c r="B26" i="3" s="1"/>
  <c r="B3" i="3" a="1"/>
  <c r="B3" i="3" s="1"/>
  <c r="B15" i="3" a="1"/>
  <c r="B15" i="3" s="1"/>
  <c r="B27" i="3" a="1"/>
  <c r="B27" i="3" s="1"/>
  <c r="B5" i="3" a="1"/>
  <c r="B5" i="3" s="1"/>
  <c r="B17" i="3" a="1"/>
  <c r="B17" i="3" s="1"/>
  <c r="B29" i="3" a="1"/>
  <c r="B29" i="3" s="1"/>
  <c r="B6" i="3" a="1"/>
  <c r="B6" i="3" s="1"/>
  <c r="B18" i="3" a="1"/>
  <c r="B18" i="3" s="1"/>
  <c r="B30" i="3" a="1"/>
  <c r="B30" i="3" s="1"/>
  <c r="B7" i="3" a="1"/>
  <c r="B7" i="3" s="1"/>
  <c r="B19" i="3" a="1"/>
  <c r="B19" i="3" s="1"/>
  <c r="B31" i="3" a="1"/>
  <c r="B31" i="3" s="1"/>
  <c r="B10" i="3" a="1"/>
  <c r="B10" i="3" s="1"/>
  <c r="B22" i="3" a="1"/>
  <c r="B22" i="3" s="1"/>
  <c r="B12" i="3" a="1"/>
  <c r="B12" i="3" s="1"/>
  <c r="B24" i="3" a="1"/>
  <c r="B24" i="3" s="1"/>
  <c r="B4" i="3" a="1"/>
  <c r="B4" i="3" s="1"/>
  <c r="B16" i="3" a="1"/>
  <c r="B16" i="3" s="1"/>
  <c r="B28" i="3" a="1"/>
  <c r="B28" i="3" s="1"/>
  <c r="B8" i="3" a="1"/>
  <c r="B8" i="3" s="1"/>
  <c r="B20" i="3" a="1"/>
  <c r="B20" i="3" s="1"/>
  <c r="B32" i="3" a="1"/>
  <c r="B32" i="3" s="1"/>
  <c r="B9" i="3" a="1"/>
  <c r="B9" i="3" s="1"/>
  <c r="B21" i="3" a="1"/>
  <c r="B21" i="3" s="1"/>
  <c r="B33" i="3" a="1"/>
  <c r="B33" i="3" s="1"/>
  <c r="B11" i="3" a="1"/>
  <c r="B11" i="3" s="1"/>
  <c r="B23" i="3" a="1"/>
  <c r="B23" i="3" s="1"/>
  <c r="B21" i="2" a="1"/>
  <c r="B21" i="2" s="1"/>
  <c r="B27" i="2" a="1"/>
  <c r="B27" i="2" s="1"/>
  <c r="B26" i="2" a="1"/>
  <c r="B26" i="2" s="1"/>
  <c r="B8" i="2" a="1"/>
  <c r="B8" i="2" s="1"/>
  <c r="B22" i="2" a="1"/>
  <c r="B22" i="2" s="1"/>
  <c r="B20" i="2" a="1"/>
  <c r="B20" i="2" s="1"/>
  <c r="B19" i="2" a="1"/>
  <c r="B19" i="2" s="1"/>
  <c r="B28" i="2" a="1"/>
  <c r="B28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23" i="2" a="1"/>
  <c r="B23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4" i="2" a="1"/>
  <c r="B24" i="2" s="1"/>
  <c r="B25" i="2" a="1"/>
  <c r="B25" i="2" s="1"/>
  <c r="B29" i="2" a="1"/>
  <c r="B29" i="2" s="1"/>
  <c r="B17" i="2" a="1"/>
  <c r="B17" i="2" s="1"/>
  <c r="B18" i="2" a="1"/>
  <c r="B18" i="2" s="1"/>
  <c r="D33" i="2" l="1" a="1"/>
  <c r="D33" i="2" s="1"/>
  <c r="E33" i="2" a="1"/>
  <c r="E33" i="2" s="1"/>
  <c r="E32" i="2" a="1"/>
  <c r="E32" i="2" s="1"/>
  <c r="D32" i="2" a="1"/>
  <c r="D32" i="2" s="1"/>
  <c r="D30" i="2" a="1"/>
  <c r="D30" i="2" s="1"/>
  <c r="E30" i="2" a="1"/>
  <c r="E30" i="2" s="1"/>
  <c r="E31" i="2" a="1"/>
  <c r="E31" i="2" s="1"/>
  <c r="D31" i="2" a="1"/>
  <c r="D31" i="2" s="1"/>
  <c r="B33" i="2" l="1" a="1"/>
  <c r="B33" i="2" s="1"/>
  <c r="B30" i="2" a="1"/>
  <c r="B30" i="2" s="1"/>
  <c r="B32" i="2" a="1"/>
  <c r="B32" i="2" s="1"/>
  <c r="B31" i="2" a="1"/>
  <c r="B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<sst xmlns="http://schemas.openxmlformats.org/spreadsheetml/2006/main" count="68" uniqueCount="34">
  <si>
    <t>site</t>
  </si>
  <si>
    <t>seuil</t>
  </si>
  <si>
    <t>C2F</t>
  </si>
  <si>
    <t>C2G</t>
  </si>
  <si>
    <t>T3</t>
  </si>
  <si>
    <t>2E_Arr</t>
  </si>
  <si>
    <t>2E_Dep</t>
  </si>
  <si>
    <t>2G_Emport</t>
  </si>
  <si>
    <t>AC_Dep</t>
  </si>
  <si>
    <t>AC_Arr</t>
  </si>
  <si>
    <t>C_Arr</t>
  </si>
  <si>
    <t>BD_Arr</t>
  </si>
  <si>
    <t>BD_Dep</t>
  </si>
  <si>
    <t>T1_Arr</t>
  </si>
  <si>
    <t>T1_Dep</t>
  </si>
  <si>
    <t>T3_Arr</t>
  </si>
  <si>
    <t>T3_Dep</t>
  </si>
  <si>
    <t>A_Arr</t>
  </si>
  <si>
    <t>K CTRCNT</t>
  </si>
  <si>
    <t>K CTR</t>
  </si>
  <si>
    <t>K CNT</t>
  </si>
  <si>
    <t>L CTR</t>
  </si>
  <si>
    <t>L CNT</t>
  </si>
  <si>
    <t>M CTR</t>
  </si>
  <si>
    <t>Galerie EF</t>
  </si>
  <si>
    <t>Liaison AC</t>
  </si>
  <si>
    <t>Liaison BD</t>
  </si>
  <si>
    <t>Terminal 1</t>
  </si>
  <si>
    <t>Terminal 1_5</t>
  </si>
  <si>
    <t>Terminal 1_6</t>
  </si>
  <si>
    <t>Galerie E&gt;F</t>
  </si>
  <si>
    <t>Galerie F&gt;E</t>
  </si>
  <si>
    <t>F &gt; S3</t>
  </si>
  <si>
    <t>S3 &gt;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</si>
</sst>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CDGD\CDGD3-IngexCapa-GEST\CAPACITES\1.%20REFERENTIELS%20CARTOGRAPHIES\SYNTHESE%20Ressources%20Process%20Capacit&#233;s%20-%2015062026.xlsx" TargetMode="External"/><Relationship Id="rId1" Type="http://schemas.openxmlformats.org/officeDocument/2006/relationships/externalLinkPath" Target="file:///R:\CDGD\CDGD3-IngexCapa-GEST\CAPACITES\1.%20REFERENTIELS%20CARTOGRAPHIES\SYNTHESE%20Ressources%20Process%20Capacit&#233;s%20-%2015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Source"/>
      <sheetName val="T1"/>
      <sheetName val="T3"/>
      <sheetName val="T2AC"/>
      <sheetName val="T2BD"/>
      <sheetName val="T2E"/>
      <sheetName val="T2F"/>
      <sheetName val="T2G"/>
      <sheetName val="FRET SUD"/>
      <sheetName val="FRET NORD"/>
    </sheetNames>
    <sheetDataSet>
      <sheetData sheetId="0"/>
      <sheetData sheetId="1"/>
      <sheetData sheetId="2">
        <row r="1">
          <cell r="B1" t="str">
            <v>T1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T1 -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8.1999999999999993</v>
          </cell>
          <cell r="Q5">
            <v>8.1999999999999993</v>
          </cell>
          <cell r="R5">
            <v>8.1999999999999993</v>
          </cell>
          <cell r="S5">
            <v>8.1999999999999993</v>
          </cell>
          <cell r="T5">
            <v>8.1999999999999993</v>
          </cell>
          <cell r="U5">
            <v>8.1999999999999993</v>
          </cell>
          <cell r="V5">
            <v>8.1999999999999993</v>
          </cell>
          <cell r="W5">
            <v>8.1999999999999993</v>
          </cell>
          <cell r="X5">
            <v>8.1999999999999993</v>
          </cell>
        </row>
        <row r="6">
          <cell r="A6"/>
          <cell r="O6" t="str">
            <v>Capacité Officielle SCH</v>
          </cell>
          <cell r="P6">
            <v>4</v>
          </cell>
          <cell r="Q6">
            <v>4</v>
          </cell>
          <cell r="R6">
            <v>4</v>
          </cell>
          <cell r="S6">
            <v>4</v>
          </cell>
          <cell r="T6">
            <v>4</v>
          </cell>
          <cell r="U6">
            <v>4</v>
          </cell>
          <cell r="V6">
            <v>4</v>
          </cell>
          <cell r="W6">
            <v>4</v>
          </cell>
          <cell r="X6">
            <v>4</v>
          </cell>
        </row>
        <row r="7">
          <cell r="A7"/>
          <cell r="O7" t="str">
            <v>Capacité Officielle TOTALE</v>
          </cell>
          <cell r="P7">
            <v>12.2</v>
          </cell>
          <cell r="Q7">
            <v>12.2</v>
          </cell>
          <cell r="R7">
            <v>12.2</v>
          </cell>
          <cell r="S7">
            <v>12.2</v>
          </cell>
          <cell r="T7">
            <v>12.2</v>
          </cell>
          <cell r="U7">
            <v>12.2</v>
          </cell>
          <cell r="V7">
            <v>12.2</v>
          </cell>
          <cell r="W7">
            <v>12.2</v>
          </cell>
          <cell r="X7">
            <v>12.2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  <cell r="P10"/>
          <cell r="Q10"/>
          <cell r="R10"/>
          <cell r="S10"/>
          <cell r="T10"/>
          <cell r="U10"/>
          <cell r="V10"/>
          <cell r="W10"/>
          <cell r="X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2100</v>
          </cell>
          <cell r="T11">
            <v>2100</v>
          </cell>
          <cell r="U11">
            <v>2100</v>
          </cell>
          <cell r="V11">
            <v>2100</v>
          </cell>
          <cell r="W11">
            <v>2100</v>
          </cell>
          <cell r="X11">
            <v>2100</v>
          </cell>
        </row>
        <row r="12">
          <cell r="A12"/>
          <cell r="O12" t="str">
            <v>Seuil d'alerte DEPART Schengen</v>
          </cell>
          <cell r="P12"/>
          <cell r="Q12"/>
          <cell r="R12"/>
          <cell r="S12">
            <v>850</v>
          </cell>
          <cell r="T12">
            <v>850</v>
          </cell>
          <cell r="U12">
            <v>850</v>
          </cell>
          <cell r="V12">
            <v>850</v>
          </cell>
          <cell r="W12">
            <v>850</v>
          </cell>
          <cell r="X12">
            <v>850</v>
          </cell>
        </row>
        <row r="13">
          <cell r="A13"/>
          <cell r="O13" t="str">
            <v>Seuil d'alerte DEPART GLOBAL</v>
          </cell>
          <cell r="P13">
            <v>2000</v>
          </cell>
          <cell r="Q13">
            <v>2000</v>
          </cell>
          <cell r="R13">
            <v>2000</v>
          </cell>
          <cell r="S13">
            <v>3000</v>
          </cell>
          <cell r="T13">
            <v>3000</v>
          </cell>
          <cell r="U13">
            <v>3000</v>
          </cell>
          <cell r="V13">
            <v>3000</v>
          </cell>
          <cell r="W13">
            <v>3000</v>
          </cell>
          <cell r="X13">
            <v>3000</v>
          </cell>
        </row>
        <row r="14">
          <cell r="A14"/>
          <cell r="I14"/>
          <cell r="J14"/>
          <cell r="K14"/>
          <cell r="L14"/>
          <cell r="M14"/>
          <cell r="N14"/>
          <cell r="O14" t="str">
            <v>Taux de pointe DEPART</v>
          </cell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</row>
        <row r="15">
          <cell r="A15"/>
          <cell r="O15" t="str">
            <v xml:space="preserve">Rendement Calculé landside </v>
          </cell>
        </row>
        <row r="16">
          <cell r="A16"/>
        </row>
        <row r="17">
          <cell r="A17"/>
        </row>
        <row r="18">
          <cell r="A18"/>
        </row>
        <row r="19">
          <cell r="A19"/>
        </row>
        <row r="20">
          <cell r="A20"/>
        </row>
        <row r="21">
          <cell r="A21"/>
          <cell r="N21" t="str">
            <v>T1 - Calcul seuil</v>
          </cell>
          <cell r="O21"/>
          <cell r="P21" t="str">
            <v>W22</v>
          </cell>
          <cell r="Q21" t="str">
            <v>S23</v>
          </cell>
          <cell r="R21" t="str">
            <v>W23</v>
          </cell>
          <cell r="S21" t="str">
            <v>S24</v>
          </cell>
          <cell r="T21" t="str">
            <v>W24</v>
          </cell>
          <cell r="U21" t="str">
            <v>S25</v>
          </cell>
          <cell r="V21" t="str">
            <v>W25</v>
          </cell>
          <cell r="W21" t="str">
            <v>S26</v>
          </cell>
          <cell r="X21" t="str">
            <v>W26</v>
          </cell>
        </row>
        <row r="22">
          <cell r="A22"/>
        </row>
        <row r="23">
          <cell r="A23"/>
          <cell r="N23" t="str">
            <v>40ème heure</v>
          </cell>
          <cell r="O23" t="str">
            <v>DEP - INTER</v>
          </cell>
          <cell r="P23"/>
          <cell r="Q23">
            <v>2014</v>
          </cell>
          <cell r="R23"/>
          <cell r="S23">
            <v>2024</v>
          </cell>
          <cell r="T23"/>
          <cell r="U23">
            <v>2074</v>
          </cell>
          <cell r="V23"/>
        </row>
        <row r="24">
          <cell r="A24"/>
          <cell r="N24" t="str">
            <v>40ème heure</v>
          </cell>
          <cell r="O24" t="str">
            <v>DEP - SCH</v>
          </cell>
          <cell r="P24"/>
          <cell r="Q24">
            <v>1004</v>
          </cell>
          <cell r="R24"/>
          <cell r="S24">
            <v>880</v>
          </cell>
          <cell r="T24"/>
          <cell r="U24">
            <v>813</v>
          </cell>
          <cell r="V24"/>
        </row>
        <row r="25">
          <cell r="A25"/>
          <cell r="N25" t="str">
            <v>40ème heure</v>
          </cell>
          <cell r="O25" t="str">
            <v>DEP - Global</v>
          </cell>
          <cell r="P25"/>
          <cell r="Q25">
            <v>2612</v>
          </cell>
          <cell r="R25"/>
          <cell r="S25">
            <v>2310</v>
          </cell>
          <cell r="T25"/>
          <cell r="U25">
            <v>2256</v>
          </cell>
          <cell r="V25"/>
        </row>
        <row r="26">
          <cell r="A26"/>
        </row>
        <row r="27">
          <cell r="A27"/>
        </row>
        <row r="28">
          <cell r="A28"/>
          <cell r="N28" t="str">
            <v>Enregistrement</v>
          </cell>
          <cell r="O28" t="str">
            <v>Capacité Equipements</v>
          </cell>
          <cell r="P28">
            <v>2318.7999999999997</v>
          </cell>
          <cell r="Q28">
            <v>2318.7999999999997</v>
          </cell>
          <cell r="R28">
            <v>2868.75</v>
          </cell>
          <cell r="S28">
            <v>2868.75</v>
          </cell>
          <cell r="T28">
            <v>2868.75</v>
          </cell>
          <cell r="U28">
            <v>2868.75</v>
          </cell>
          <cell r="V28">
            <v>2868.75</v>
          </cell>
          <cell r="W28">
            <v>2868.75</v>
          </cell>
          <cell r="X28">
            <v>2868.75</v>
          </cell>
        </row>
        <row r="29">
          <cell r="A29"/>
          <cell r="N29"/>
          <cell r="O29" t="str">
            <v>Capacité Surfaces</v>
          </cell>
          <cell r="P29">
            <v>4585.7142857142862</v>
          </cell>
          <cell r="Q29">
            <v>4585.7142857142862</v>
          </cell>
          <cell r="R29">
            <v>5128.5714285714294</v>
          </cell>
          <cell r="S29">
            <v>5128.5714285714294</v>
          </cell>
          <cell r="T29">
            <v>5128.5714285714294</v>
          </cell>
          <cell r="U29">
            <v>5128.5714285714294</v>
          </cell>
          <cell r="V29">
            <v>5128.5714285714294</v>
          </cell>
          <cell r="W29">
            <v>5128.5714285714294</v>
          </cell>
          <cell r="X29">
            <v>5128.5714285714294</v>
          </cell>
        </row>
        <row r="30">
          <cell r="A30"/>
          <cell r="N30"/>
          <cell r="O30" t="str">
            <v>QP utilisation</v>
          </cell>
          <cell r="P30">
            <v>0.9</v>
          </cell>
          <cell r="Q30">
            <v>0.9</v>
          </cell>
          <cell r="R30">
            <v>0.9</v>
          </cell>
          <cell r="S30">
            <v>0.8</v>
          </cell>
          <cell r="T30">
            <v>0.8</v>
          </cell>
          <cell r="U30">
            <v>0.8</v>
          </cell>
          <cell r="V30">
            <v>0.8</v>
          </cell>
          <cell r="W30">
            <v>0.8</v>
          </cell>
          <cell r="X30">
            <v>0.8</v>
          </cell>
        </row>
        <row r="31">
          <cell r="A31"/>
          <cell r="N31"/>
          <cell r="O31" t="str">
            <v>Capacité fictive Bloc</v>
          </cell>
          <cell r="P31">
            <v>2576.4444444444439</v>
          </cell>
          <cell r="Q31">
            <v>2576.4444444444439</v>
          </cell>
          <cell r="R31">
            <v>3187.5</v>
          </cell>
          <cell r="S31">
            <v>3585.9375</v>
          </cell>
          <cell r="T31">
            <v>3585.9375</v>
          </cell>
          <cell r="U31">
            <v>3585.9375</v>
          </cell>
          <cell r="V31">
            <v>3585.9375</v>
          </cell>
          <cell r="W31">
            <v>3585.9375</v>
          </cell>
          <cell r="X31">
            <v>3585.9375</v>
          </cell>
        </row>
        <row r="32">
          <cell r="A32"/>
          <cell r="N32"/>
          <cell r="O32"/>
        </row>
        <row r="33">
          <cell r="A33"/>
          <cell r="N33" t="str">
            <v>PAF</v>
          </cell>
          <cell r="O33" t="str">
            <v>Capacité Equipements</v>
          </cell>
          <cell r="P33">
            <v>1748</v>
          </cell>
          <cell r="Q33">
            <v>2070.7617457667538</v>
          </cell>
          <cell r="R33">
            <v>2070.7617457667538</v>
          </cell>
          <cell r="S33">
            <v>2070.7617457667538</v>
          </cell>
          <cell r="T33">
            <v>2070.7617457667538</v>
          </cell>
          <cell r="U33">
            <v>2070.7617457667538</v>
          </cell>
          <cell r="V33">
            <v>2070.7617457667511</v>
          </cell>
          <cell r="W33">
            <v>2083</v>
          </cell>
          <cell r="X33">
            <v>2518</v>
          </cell>
        </row>
        <row r="34">
          <cell r="A34"/>
          <cell r="N34"/>
          <cell r="O34" t="str">
            <v>Capacité Surfaces</v>
          </cell>
          <cell r="P34">
            <v>1260</v>
          </cell>
          <cell r="Q34">
            <v>1260</v>
          </cell>
          <cell r="R34">
            <v>1260</v>
          </cell>
          <cell r="S34">
            <v>1260</v>
          </cell>
          <cell r="T34">
            <v>1260</v>
          </cell>
          <cell r="U34">
            <v>1260</v>
          </cell>
          <cell r="V34">
            <v>1260</v>
          </cell>
          <cell r="W34">
            <v>1260</v>
          </cell>
          <cell r="X34">
            <v>1260</v>
          </cell>
        </row>
        <row r="35">
          <cell r="A35"/>
          <cell r="N35"/>
          <cell r="O35" t="str">
            <v>QP utilisation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</row>
        <row r="36">
          <cell r="A36"/>
          <cell r="N36"/>
          <cell r="O36" t="str">
            <v>QP INT en pointe</v>
          </cell>
          <cell r="P36">
            <v>0.82</v>
          </cell>
          <cell r="Q36">
            <v>0.72</v>
          </cell>
          <cell r="R36">
            <v>0.72</v>
          </cell>
          <cell r="S36">
            <v>0.87</v>
          </cell>
          <cell r="T36">
            <v>0.87</v>
          </cell>
          <cell r="U36">
            <v>0.87</v>
          </cell>
          <cell r="V36">
            <v>0.87</v>
          </cell>
          <cell r="W36">
            <v>0.87</v>
          </cell>
          <cell r="X36">
            <v>0.87</v>
          </cell>
        </row>
        <row r="37">
          <cell r="A37"/>
          <cell r="N37"/>
          <cell r="O37" t="str">
            <v>Capacité fictive Bloc</v>
          </cell>
          <cell r="P37">
            <v>2131.707317073171</v>
          </cell>
          <cell r="Q37">
            <v>2876.0579802316029</v>
          </cell>
          <cell r="R37">
            <v>2876.0579802316029</v>
          </cell>
          <cell r="S37">
            <v>2380.1859146744296</v>
          </cell>
          <cell r="T37">
            <v>2380.1859146744296</v>
          </cell>
          <cell r="U37">
            <v>2380.1859146744296</v>
          </cell>
          <cell r="V37">
            <v>2380.1859146744264</v>
          </cell>
          <cell r="W37">
            <v>2394.2528735632186</v>
          </cell>
          <cell r="X37">
            <v>2894.2528735632186</v>
          </cell>
        </row>
        <row r="38">
          <cell r="A38"/>
          <cell r="N38"/>
          <cell r="O38"/>
        </row>
        <row r="39">
          <cell r="A39"/>
          <cell r="N39" t="str">
            <v>PIF INTER</v>
          </cell>
          <cell r="O39" t="str">
            <v>Capacité Equipements</v>
          </cell>
          <cell r="P39">
            <v>1900</v>
          </cell>
          <cell r="Q39">
            <v>2180</v>
          </cell>
          <cell r="R39">
            <v>2180</v>
          </cell>
          <cell r="S39">
            <v>2140</v>
          </cell>
          <cell r="T39">
            <v>2140</v>
          </cell>
          <cell r="U39">
            <v>2140</v>
          </cell>
          <cell r="V39">
            <v>2480</v>
          </cell>
          <cell r="W39">
            <v>2560</v>
          </cell>
          <cell r="X39">
            <v>2580</v>
          </cell>
        </row>
        <row r="40">
          <cell r="A40"/>
          <cell r="N40"/>
          <cell r="O40" t="str">
            <v>Capacité Surfaces</v>
          </cell>
          <cell r="P40">
            <v>1980</v>
          </cell>
          <cell r="Q40">
            <v>1980</v>
          </cell>
          <cell r="R40">
            <v>1980</v>
          </cell>
          <cell r="S40">
            <v>1980</v>
          </cell>
          <cell r="T40">
            <v>1980</v>
          </cell>
          <cell r="U40">
            <v>2394</v>
          </cell>
          <cell r="V40">
            <v>2394</v>
          </cell>
          <cell r="W40">
            <v>2394</v>
          </cell>
          <cell r="X40">
            <v>2394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QP INT en pointe</v>
          </cell>
          <cell r="P42">
            <v>0.82</v>
          </cell>
          <cell r="Q42">
            <v>0.72</v>
          </cell>
          <cell r="R42">
            <v>0.72</v>
          </cell>
          <cell r="S42">
            <v>0.87</v>
          </cell>
          <cell r="T42">
            <v>0.87</v>
          </cell>
          <cell r="U42">
            <v>0.87</v>
          </cell>
          <cell r="V42">
            <v>0.87</v>
          </cell>
          <cell r="W42">
            <v>0.87</v>
          </cell>
          <cell r="X42">
            <v>0.87</v>
          </cell>
        </row>
        <row r="43">
          <cell r="A43"/>
          <cell r="N43"/>
          <cell r="O43" t="str">
            <v>Capacité fictive Bloc</v>
          </cell>
          <cell r="P43">
            <v>2317.0731707317073</v>
          </cell>
          <cell r="Q43">
            <v>3027.7777777777778</v>
          </cell>
          <cell r="R43">
            <v>3027.7777777777778</v>
          </cell>
          <cell r="S43">
            <v>2459.7701149425288</v>
          </cell>
          <cell r="T43">
            <v>2459.7701149425288</v>
          </cell>
          <cell r="U43">
            <v>2459.7701149425288</v>
          </cell>
          <cell r="V43">
            <v>2850.5747126436781</v>
          </cell>
          <cell r="W43">
            <v>2942.5287356321837</v>
          </cell>
          <cell r="X43">
            <v>2965.5172413793102</v>
          </cell>
        </row>
        <row r="44">
          <cell r="A44"/>
          <cell r="N44"/>
          <cell r="O44"/>
        </row>
        <row r="45">
          <cell r="A45"/>
          <cell r="N45" t="str">
            <v>PIF SCH</v>
          </cell>
          <cell r="O45" t="str">
            <v>Capacité Equipements</v>
          </cell>
          <cell r="P45">
            <v>840</v>
          </cell>
          <cell r="Q45">
            <v>840</v>
          </cell>
          <cell r="R45">
            <v>840</v>
          </cell>
          <cell r="S45">
            <v>910</v>
          </cell>
          <cell r="T45">
            <v>910</v>
          </cell>
          <cell r="U45">
            <v>910</v>
          </cell>
          <cell r="V45">
            <v>910</v>
          </cell>
          <cell r="W45">
            <v>910</v>
          </cell>
          <cell r="X45">
            <v>910</v>
          </cell>
        </row>
        <row r="46">
          <cell r="A46"/>
          <cell r="N46"/>
          <cell r="O46" t="str">
            <v>Capacité Surfaces</v>
          </cell>
          <cell r="P46">
            <v>876</v>
          </cell>
          <cell r="Q46">
            <v>876</v>
          </cell>
          <cell r="R46">
            <v>876</v>
          </cell>
          <cell r="S46">
            <v>876</v>
          </cell>
          <cell r="T46">
            <v>876</v>
          </cell>
          <cell r="U46">
            <v>1062</v>
          </cell>
          <cell r="V46">
            <v>1062</v>
          </cell>
          <cell r="W46">
            <v>1062</v>
          </cell>
          <cell r="X46">
            <v>1062</v>
          </cell>
        </row>
        <row r="47">
          <cell r="A47"/>
          <cell r="N47"/>
          <cell r="O47" t="str">
            <v>QP utilisation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</row>
        <row r="48">
          <cell r="A48"/>
          <cell r="N48"/>
          <cell r="O48" t="str">
            <v>QP SCH en pointe</v>
          </cell>
          <cell r="P48">
            <v>0.18</v>
          </cell>
          <cell r="Q48">
            <v>0.28000000000000003</v>
          </cell>
          <cell r="R48">
            <v>0.28000000000000003</v>
          </cell>
          <cell r="S48">
            <v>0.13</v>
          </cell>
          <cell r="T48">
            <v>0.13</v>
          </cell>
          <cell r="U48">
            <v>0.13</v>
          </cell>
          <cell r="V48">
            <v>0.13</v>
          </cell>
          <cell r="W48">
            <v>0.13</v>
          </cell>
          <cell r="X48">
            <v>0.13</v>
          </cell>
        </row>
        <row r="49">
          <cell r="A49"/>
          <cell r="N49"/>
          <cell r="O49" t="str">
            <v>Capacité fictive Bloc</v>
          </cell>
          <cell r="P49">
            <v>4666.666666666667</v>
          </cell>
          <cell r="Q49">
            <v>2999.9999999999995</v>
          </cell>
          <cell r="R49">
            <v>2999.9999999999995</v>
          </cell>
          <cell r="S49">
            <v>7000</v>
          </cell>
          <cell r="T49">
            <v>7000</v>
          </cell>
          <cell r="U49">
            <v>7000</v>
          </cell>
          <cell r="V49">
            <v>7000</v>
          </cell>
          <cell r="W49">
            <v>7000</v>
          </cell>
          <cell r="X49">
            <v>7000</v>
          </cell>
        </row>
        <row r="50">
          <cell r="A50"/>
        </row>
        <row r="51">
          <cell r="A51"/>
          <cell r="N51" t="str">
            <v>PIF TOT</v>
          </cell>
          <cell r="O51" t="str">
            <v>Capacité Equipements</v>
          </cell>
          <cell r="P51">
            <v>2740</v>
          </cell>
          <cell r="Q51">
            <v>3020</v>
          </cell>
          <cell r="R51">
            <v>3020</v>
          </cell>
          <cell r="S51">
            <v>3050</v>
          </cell>
          <cell r="T51">
            <v>3050</v>
          </cell>
          <cell r="U51">
            <v>3050</v>
          </cell>
          <cell r="V51">
            <v>3390</v>
          </cell>
          <cell r="W51">
            <v>3470</v>
          </cell>
          <cell r="X51">
            <v>3490</v>
          </cell>
        </row>
        <row r="52">
          <cell r="A52"/>
          <cell r="N52"/>
          <cell r="O52" t="str">
            <v>Capacité Surfaces</v>
          </cell>
          <cell r="P52">
            <v>2856</v>
          </cell>
          <cell r="Q52">
            <v>2856</v>
          </cell>
          <cell r="R52">
            <v>2856</v>
          </cell>
          <cell r="S52">
            <v>2856</v>
          </cell>
          <cell r="T52">
            <v>2856</v>
          </cell>
          <cell r="U52">
            <v>3456</v>
          </cell>
          <cell r="V52">
            <v>3456</v>
          </cell>
          <cell r="W52">
            <v>3456</v>
          </cell>
          <cell r="X52">
            <v>3456</v>
          </cell>
        </row>
        <row r="53">
          <cell r="A53"/>
          <cell r="N53"/>
          <cell r="O53" t="str">
            <v>QP utilisation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</row>
        <row r="54">
          <cell r="A54"/>
          <cell r="N54"/>
          <cell r="O54" t="str">
            <v>Capacité fictive Bloc</v>
          </cell>
          <cell r="P54">
            <v>2740</v>
          </cell>
          <cell r="Q54">
            <v>3020</v>
          </cell>
          <cell r="R54">
            <v>3020</v>
          </cell>
          <cell r="S54">
            <v>3050</v>
          </cell>
          <cell r="T54">
            <v>3050</v>
          </cell>
          <cell r="U54">
            <v>3050</v>
          </cell>
          <cell r="V54">
            <v>3390</v>
          </cell>
          <cell r="W54">
            <v>3470</v>
          </cell>
          <cell r="X54">
            <v>3490</v>
          </cell>
        </row>
        <row r="55">
          <cell r="A55"/>
        </row>
        <row r="56">
          <cell r="A56"/>
          <cell r="N56" t="str">
            <v>EMB INTER</v>
          </cell>
          <cell r="O56" t="str">
            <v>Capacité Equipements</v>
          </cell>
          <cell r="P56">
            <v>4547.5</v>
          </cell>
          <cell r="Q56">
            <v>4547.5</v>
          </cell>
          <cell r="R56">
            <v>4547.5</v>
          </cell>
          <cell r="S56">
            <v>4547.5</v>
          </cell>
          <cell r="T56">
            <v>4547.5</v>
          </cell>
          <cell r="U56">
            <v>4547.5</v>
          </cell>
          <cell r="V56">
            <v>4547.5</v>
          </cell>
          <cell r="W56">
            <v>4003.5</v>
          </cell>
          <cell r="X56">
            <v>3816.5</v>
          </cell>
        </row>
        <row r="57">
          <cell r="A57"/>
          <cell r="N57"/>
          <cell r="O57" t="str">
            <v>Capacité Surfaces</v>
          </cell>
          <cell r="P57">
            <v>3155.5875000000001</v>
          </cell>
          <cell r="Q57">
            <v>3155.5875000000001</v>
          </cell>
          <cell r="R57">
            <v>3155.5875000000001</v>
          </cell>
          <cell r="S57">
            <v>3155.5875000000001</v>
          </cell>
          <cell r="T57">
            <v>3155.5875000000001</v>
          </cell>
          <cell r="U57">
            <v>3155.5875000000001</v>
          </cell>
          <cell r="V57">
            <v>3155.5875000000001</v>
          </cell>
          <cell r="W57">
            <v>3155.5875000000001</v>
          </cell>
          <cell r="X57">
            <v>3155.5875000000001</v>
          </cell>
        </row>
        <row r="58">
          <cell r="A58"/>
          <cell r="N58"/>
          <cell r="O58" t="str">
            <v>QP utilisation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</row>
        <row r="59">
          <cell r="A59"/>
          <cell r="N59"/>
          <cell r="O59" t="str">
            <v>QP INT en pointe</v>
          </cell>
          <cell r="P59">
            <v>0.82</v>
          </cell>
          <cell r="Q59">
            <v>0.72</v>
          </cell>
          <cell r="R59">
            <v>0.72</v>
          </cell>
          <cell r="S59">
            <v>0.87</v>
          </cell>
          <cell r="T59">
            <v>0.87</v>
          </cell>
          <cell r="U59">
            <v>0.87</v>
          </cell>
          <cell r="V59">
            <v>0.87</v>
          </cell>
          <cell r="W59">
            <v>0.87</v>
          </cell>
          <cell r="X59">
            <v>0.87</v>
          </cell>
        </row>
        <row r="60">
          <cell r="A60"/>
          <cell r="N60"/>
          <cell r="O60" t="str">
            <v>Capacité fictive Bloc</v>
          </cell>
          <cell r="P60">
            <v>3848.2774390243908</v>
          </cell>
          <cell r="Q60">
            <v>4382.760416666667</v>
          </cell>
          <cell r="R60">
            <v>4382.760416666667</v>
          </cell>
          <cell r="S60">
            <v>3627.1120689655172</v>
          </cell>
          <cell r="T60">
            <v>3627.1120689655172</v>
          </cell>
          <cell r="U60">
            <v>3627.1120689655172</v>
          </cell>
          <cell r="V60">
            <v>3627.1120689655172</v>
          </cell>
          <cell r="W60">
            <v>3627.1120689655172</v>
          </cell>
          <cell r="X60">
            <v>3627.1120689655172</v>
          </cell>
        </row>
        <row r="61">
          <cell r="A61"/>
          <cell r="N61"/>
        </row>
        <row r="62">
          <cell r="A62"/>
          <cell r="N62" t="str">
            <v>EMB SCH</v>
          </cell>
          <cell r="O62" t="str">
            <v>Capacité Equipements</v>
          </cell>
          <cell r="P62">
            <v>2048.5</v>
          </cell>
          <cell r="Q62">
            <v>2048.5</v>
          </cell>
          <cell r="R62">
            <v>2048.5</v>
          </cell>
          <cell r="S62">
            <v>2048.5</v>
          </cell>
          <cell r="T62">
            <v>2048.5</v>
          </cell>
          <cell r="U62">
            <v>2048.5</v>
          </cell>
          <cell r="V62">
            <v>2048.5</v>
          </cell>
          <cell r="W62">
            <v>2048.5</v>
          </cell>
          <cell r="X62">
            <v>1742.5</v>
          </cell>
        </row>
        <row r="63">
          <cell r="A63"/>
          <cell r="N63"/>
          <cell r="O63" t="str">
            <v>Capacité Surfaces</v>
          </cell>
          <cell r="P63">
            <v>836.16000000000008</v>
          </cell>
          <cell r="Q63">
            <v>836.16000000000008</v>
          </cell>
          <cell r="R63">
            <v>836.16000000000008</v>
          </cell>
          <cell r="S63">
            <v>836.16000000000008</v>
          </cell>
          <cell r="T63">
            <v>836.16000000000008</v>
          </cell>
          <cell r="U63">
            <v>836.16000000000008</v>
          </cell>
          <cell r="V63">
            <v>836.16000000000008</v>
          </cell>
          <cell r="W63">
            <v>836.16000000000008</v>
          </cell>
          <cell r="X63">
            <v>836.16000000000008</v>
          </cell>
        </row>
        <row r="64">
          <cell r="A64"/>
          <cell r="N64"/>
          <cell r="O64" t="str">
            <v>QP utilisation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</row>
        <row r="65">
          <cell r="A65"/>
          <cell r="N65"/>
          <cell r="O65" t="str">
            <v>QP SCH en pointe</v>
          </cell>
          <cell r="P65">
            <v>0.18</v>
          </cell>
          <cell r="Q65">
            <v>0.28000000000000003</v>
          </cell>
          <cell r="R65">
            <v>0.28000000000000003</v>
          </cell>
          <cell r="S65">
            <v>0.13</v>
          </cell>
          <cell r="T65">
            <v>0.13</v>
          </cell>
          <cell r="U65">
            <v>0.13</v>
          </cell>
          <cell r="V65">
            <v>0.13</v>
          </cell>
          <cell r="W65">
            <v>0.13</v>
          </cell>
          <cell r="X65">
            <v>0.13</v>
          </cell>
        </row>
        <row r="66">
          <cell r="A66"/>
          <cell r="N66"/>
          <cell r="O66" t="str">
            <v>Capacité fictive Bloc</v>
          </cell>
          <cell r="P66">
            <v>4645.3333333333339</v>
          </cell>
          <cell r="Q66">
            <v>2986.2857142857142</v>
          </cell>
          <cell r="R66">
            <v>2986.2857142857142</v>
          </cell>
          <cell r="S66">
            <v>6432</v>
          </cell>
          <cell r="T66">
            <v>6432</v>
          </cell>
          <cell r="U66">
            <v>6432</v>
          </cell>
          <cell r="V66">
            <v>6432</v>
          </cell>
          <cell r="W66">
            <v>6432</v>
          </cell>
          <cell r="X66">
            <v>6432</v>
          </cell>
        </row>
        <row r="67">
          <cell r="A67"/>
        </row>
        <row r="68">
          <cell r="A68"/>
          <cell r="N68" t="str">
            <v>EMB TOT</v>
          </cell>
          <cell r="O68" t="str">
            <v>Capacité Equipements</v>
          </cell>
          <cell r="P68">
            <v>6596</v>
          </cell>
          <cell r="Q68">
            <v>6596</v>
          </cell>
          <cell r="R68">
            <v>6596</v>
          </cell>
          <cell r="S68">
            <v>6596</v>
          </cell>
          <cell r="T68">
            <v>6596</v>
          </cell>
          <cell r="U68">
            <v>6596</v>
          </cell>
          <cell r="V68">
            <v>6596</v>
          </cell>
          <cell r="W68">
            <v>6052</v>
          </cell>
          <cell r="X68">
            <v>5559</v>
          </cell>
        </row>
        <row r="69">
          <cell r="A69"/>
          <cell r="N69"/>
          <cell r="O69" t="str">
            <v>Capacité Surfaces</v>
          </cell>
          <cell r="P69">
            <v>3991.7475000000004</v>
          </cell>
          <cell r="Q69">
            <v>3991.7475000000004</v>
          </cell>
          <cell r="R69">
            <v>3991.7475000000004</v>
          </cell>
          <cell r="S69">
            <v>3991.7475000000004</v>
          </cell>
          <cell r="T69">
            <v>3991.7475000000004</v>
          </cell>
          <cell r="U69">
            <v>3991.7475000000004</v>
          </cell>
          <cell r="V69">
            <v>3991.7475000000004</v>
          </cell>
          <cell r="W69">
            <v>3991.7475000000004</v>
          </cell>
          <cell r="X69">
            <v>3991.7475000000004</v>
          </cell>
        </row>
        <row r="70">
          <cell r="A70"/>
          <cell r="N70"/>
          <cell r="O70" t="str">
            <v>QP utilisation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</row>
        <row r="71">
          <cell r="A71"/>
          <cell r="N71"/>
          <cell r="O71" t="str">
            <v>Capacité fictive Bloc</v>
          </cell>
          <cell r="P71">
            <v>3991.7475000000004</v>
          </cell>
          <cell r="Q71">
            <v>3991.7475000000004</v>
          </cell>
          <cell r="R71">
            <v>3991.7475000000004</v>
          </cell>
          <cell r="S71">
            <v>3991.7475000000004</v>
          </cell>
          <cell r="T71">
            <v>3991.7475000000004</v>
          </cell>
          <cell r="U71">
            <v>3991.7475000000004</v>
          </cell>
          <cell r="V71">
            <v>3991.7475000000004</v>
          </cell>
          <cell r="W71">
            <v>3991.7475000000004</v>
          </cell>
          <cell r="X71">
            <v>3991.7475000000004</v>
          </cell>
        </row>
        <row r="72">
          <cell r="A72"/>
        </row>
        <row r="73">
          <cell r="A73"/>
        </row>
        <row r="74">
          <cell r="A74"/>
          <cell r="N74" t="str">
            <v>Seuil d'alerte proposé</v>
          </cell>
          <cell r="O74" t="str">
            <v>INTER</v>
          </cell>
          <cell r="P74" t="str">
            <v>-</v>
          </cell>
          <cell r="Q74" t="str">
            <v>-</v>
          </cell>
          <cell r="R74" t="str">
            <v>-</v>
          </cell>
          <cell r="S74">
            <v>2100</v>
          </cell>
          <cell r="T74" t="str">
            <v>-</v>
          </cell>
          <cell r="U74">
            <v>2100</v>
          </cell>
          <cell r="V74" t="str">
            <v>-</v>
          </cell>
          <cell r="W74">
            <v>2100</v>
          </cell>
          <cell r="X74" t="str">
            <v>-</v>
          </cell>
        </row>
        <row r="75">
          <cell r="A75"/>
          <cell r="N75" t="str">
            <v>Seuil d'alerte proposé</v>
          </cell>
          <cell r="O75" t="str">
            <v>SCH</v>
          </cell>
          <cell r="P75" t="str">
            <v>-</v>
          </cell>
          <cell r="Q75" t="str">
            <v>-</v>
          </cell>
          <cell r="R75" t="str">
            <v>-</v>
          </cell>
          <cell r="S75">
            <v>850</v>
          </cell>
          <cell r="T75" t="str">
            <v>-</v>
          </cell>
          <cell r="U75">
            <v>850</v>
          </cell>
          <cell r="V75" t="str">
            <v>-</v>
          </cell>
          <cell r="W75">
            <v>850</v>
          </cell>
          <cell r="X75" t="str">
            <v>-</v>
          </cell>
        </row>
        <row r="76">
          <cell r="A76"/>
          <cell r="N76" t="str">
            <v>Seuil d'alerte proposé</v>
          </cell>
          <cell r="O76" t="str">
            <v>Global</v>
          </cell>
          <cell r="P76" t="str">
            <v>-</v>
          </cell>
          <cell r="Q76" t="str">
            <v>-</v>
          </cell>
          <cell r="R76" t="str">
            <v>-</v>
          </cell>
          <cell r="S76">
            <v>3000</v>
          </cell>
          <cell r="T76" t="str">
            <v>-</v>
          </cell>
          <cell r="U76">
            <v>3000</v>
          </cell>
          <cell r="V76" t="str">
            <v>-</v>
          </cell>
          <cell r="W76">
            <v>3000</v>
          </cell>
          <cell r="X76" t="str">
            <v>-</v>
          </cell>
        </row>
        <row r="77">
          <cell r="A77"/>
        </row>
        <row r="78">
          <cell r="A78"/>
        </row>
        <row r="80">
          <cell r="A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</row>
        <row r="81">
          <cell r="A81" t="str">
            <v>Enregistrement</v>
          </cell>
        </row>
        <row r="82">
          <cell r="A82"/>
          <cell r="N82" t="str">
            <v>T1 - Enregistrement NET</v>
          </cell>
          <cell r="O82"/>
          <cell r="P82" t="str">
            <v>W22</v>
          </cell>
          <cell r="Q82" t="str">
            <v>S23</v>
          </cell>
          <cell r="R82" t="str">
            <v>W23</v>
          </cell>
          <cell r="S82" t="str">
            <v>S24</v>
          </cell>
          <cell r="T82" t="str">
            <v>W24</v>
          </cell>
          <cell r="U82" t="str">
            <v>S25</v>
          </cell>
          <cell r="V82" t="str">
            <v>W25</v>
          </cell>
          <cell r="W82" t="str">
            <v>S26</v>
          </cell>
          <cell r="X82" t="str">
            <v>W26</v>
          </cell>
        </row>
        <row r="83">
          <cell r="A83"/>
          <cell r="N83" t="str">
            <v>Hall 1</v>
          </cell>
          <cell r="O83" t="str">
            <v>Banques</v>
          </cell>
          <cell r="P83">
            <v>24</v>
          </cell>
          <cell r="Q83">
            <v>24</v>
          </cell>
          <cell r="R83">
            <v>24</v>
          </cell>
          <cell r="S83">
            <v>24</v>
          </cell>
          <cell r="T83">
            <v>24</v>
          </cell>
          <cell r="U83">
            <v>24</v>
          </cell>
          <cell r="V83">
            <v>24</v>
          </cell>
          <cell r="W83">
            <v>24</v>
          </cell>
          <cell r="X83">
            <v>24</v>
          </cell>
        </row>
        <row r="84">
          <cell r="A84"/>
          <cell r="N84"/>
          <cell r="O84" t="str">
            <v>DBA</v>
          </cell>
          <cell r="P84">
            <v>16</v>
          </cell>
          <cell r="Q84">
            <v>16</v>
          </cell>
          <cell r="R84">
            <v>16</v>
          </cell>
          <cell r="S84">
            <v>16</v>
          </cell>
          <cell r="T84">
            <v>16</v>
          </cell>
          <cell r="U84">
            <v>16</v>
          </cell>
          <cell r="V84">
            <v>16</v>
          </cell>
          <cell r="W84">
            <v>16</v>
          </cell>
          <cell r="X84">
            <v>16</v>
          </cell>
        </row>
        <row r="85">
          <cell r="A85"/>
          <cell r="N85"/>
          <cell r="O85" t="str">
            <v>CUSS</v>
          </cell>
          <cell r="P85">
            <v>14</v>
          </cell>
          <cell r="Q85">
            <v>14</v>
          </cell>
          <cell r="R85">
            <v>14</v>
          </cell>
          <cell r="S85">
            <v>14</v>
          </cell>
          <cell r="T85">
            <v>14</v>
          </cell>
          <cell r="U85">
            <v>14</v>
          </cell>
          <cell r="V85">
            <v>14</v>
          </cell>
          <cell r="W85">
            <v>14</v>
          </cell>
          <cell r="X85">
            <v>14</v>
          </cell>
        </row>
        <row r="86">
          <cell r="A86"/>
          <cell r="N86" t="str">
            <v>Hall 2</v>
          </cell>
          <cell r="O86" t="str">
            <v>Banques</v>
          </cell>
          <cell r="P86">
            <v>24</v>
          </cell>
          <cell r="Q86">
            <v>24</v>
          </cell>
          <cell r="R86">
            <v>24</v>
          </cell>
          <cell r="S86">
            <v>24</v>
          </cell>
          <cell r="T86">
            <v>24</v>
          </cell>
          <cell r="U86">
            <v>24</v>
          </cell>
          <cell r="V86">
            <v>24</v>
          </cell>
          <cell r="W86">
            <v>24</v>
          </cell>
          <cell r="X86">
            <v>24</v>
          </cell>
        </row>
        <row r="87">
          <cell r="A87"/>
          <cell r="N87"/>
          <cell r="O87" t="str">
            <v>DBA</v>
          </cell>
          <cell r="P87">
            <v>16</v>
          </cell>
          <cell r="Q87">
            <v>16</v>
          </cell>
          <cell r="R87">
            <v>16</v>
          </cell>
          <cell r="S87">
            <v>16</v>
          </cell>
          <cell r="T87">
            <v>16</v>
          </cell>
          <cell r="U87">
            <v>16</v>
          </cell>
          <cell r="V87">
            <v>16</v>
          </cell>
          <cell r="W87">
            <v>16</v>
          </cell>
          <cell r="X87">
            <v>16</v>
          </cell>
        </row>
        <row r="88">
          <cell r="A88"/>
          <cell r="N88"/>
          <cell r="O88" t="str">
            <v>CUSS</v>
          </cell>
          <cell r="P88">
            <v>14</v>
          </cell>
          <cell r="Q88">
            <v>14</v>
          </cell>
          <cell r="R88">
            <v>21</v>
          </cell>
          <cell r="S88">
            <v>21</v>
          </cell>
          <cell r="T88">
            <v>21</v>
          </cell>
          <cell r="U88">
            <v>21</v>
          </cell>
          <cell r="V88">
            <v>21</v>
          </cell>
          <cell r="W88">
            <v>21</v>
          </cell>
          <cell r="X88">
            <v>21</v>
          </cell>
        </row>
        <row r="89">
          <cell r="A89"/>
          <cell r="N89" t="str">
            <v>Hall 3</v>
          </cell>
          <cell r="O89" t="str">
            <v>Banques</v>
          </cell>
          <cell r="P89">
            <v>24</v>
          </cell>
          <cell r="Q89">
            <v>24</v>
          </cell>
          <cell r="R89">
            <v>24</v>
          </cell>
          <cell r="S89">
            <v>24</v>
          </cell>
          <cell r="T89">
            <v>24</v>
          </cell>
          <cell r="U89">
            <v>24</v>
          </cell>
          <cell r="V89">
            <v>24</v>
          </cell>
          <cell r="W89">
            <v>24</v>
          </cell>
          <cell r="X89">
            <v>24</v>
          </cell>
        </row>
        <row r="90">
          <cell r="A90"/>
          <cell r="N90"/>
          <cell r="O90" t="str">
            <v>DBA</v>
          </cell>
          <cell r="P90">
            <v>16</v>
          </cell>
          <cell r="Q90">
            <v>16</v>
          </cell>
          <cell r="R90">
            <v>16</v>
          </cell>
          <cell r="S90">
            <v>16</v>
          </cell>
          <cell r="T90">
            <v>16</v>
          </cell>
          <cell r="U90">
            <v>16</v>
          </cell>
          <cell r="V90">
            <v>16</v>
          </cell>
          <cell r="W90">
            <v>16</v>
          </cell>
          <cell r="X90">
            <v>16</v>
          </cell>
        </row>
        <row r="91">
          <cell r="A91"/>
          <cell r="N91"/>
          <cell r="O91" t="str">
            <v>CUSS</v>
          </cell>
          <cell r="P91">
            <v>14</v>
          </cell>
          <cell r="Q91">
            <v>14</v>
          </cell>
          <cell r="R91">
            <v>21</v>
          </cell>
          <cell r="S91">
            <v>21</v>
          </cell>
          <cell r="T91">
            <v>21</v>
          </cell>
          <cell r="U91">
            <v>21</v>
          </cell>
          <cell r="V91">
            <v>21</v>
          </cell>
          <cell r="W91">
            <v>21</v>
          </cell>
          <cell r="X91">
            <v>21</v>
          </cell>
        </row>
        <row r="92">
          <cell r="A92"/>
          <cell r="N92" t="str">
            <v>Hall 4</v>
          </cell>
          <cell r="O92" t="str">
            <v>Banques</v>
          </cell>
          <cell r="P92">
            <v>24</v>
          </cell>
          <cell r="Q92">
            <v>24</v>
          </cell>
          <cell r="R92">
            <v>24</v>
          </cell>
          <cell r="S92">
            <v>24</v>
          </cell>
          <cell r="T92">
            <v>24</v>
          </cell>
          <cell r="U92">
            <v>24</v>
          </cell>
          <cell r="V92">
            <v>24</v>
          </cell>
          <cell r="W92">
            <v>24</v>
          </cell>
          <cell r="X92">
            <v>24</v>
          </cell>
        </row>
        <row r="93">
          <cell r="A93"/>
          <cell r="N93"/>
          <cell r="O93" t="str">
            <v>DBA</v>
          </cell>
          <cell r="P93">
            <v>16</v>
          </cell>
          <cell r="Q93">
            <v>16</v>
          </cell>
          <cell r="R93">
            <v>16</v>
          </cell>
          <cell r="S93">
            <v>16</v>
          </cell>
          <cell r="T93">
            <v>16</v>
          </cell>
          <cell r="U93">
            <v>16</v>
          </cell>
          <cell r="V93">
            <v>16</v>
          </cell>
          <cell r="W93">
            <v>16</v>
          </cell>
          <cell r="X93">
            <v>16</v>
          </cell>
        </row>
        <row r="94">
          <cell r="A94"/>
          <cell r="N94"/>
          <cell r="O94" t="str">
            <v>CUSS</v>
          </cell>
          <cell r="P94">
            <v>40</v>
          </cell>
          <cell r="Q94">
            <v>40</v>
          </cell>
          <cell r="R94">
            <v>40</v>
          </cell>
          <cell r="S94">
            <v>40</v>
          </cell>
          <cell r="T94">
            <v>40</v>
          </cell>
          <cell r="U94">
            <v>40</v>
          </cell>
          <cell r="V94">
            <v>40</v>
          </cell>
          <cell r="W94">
            <v>40</v>
          </cell>
          <cell r="X94">
            <v>40</v>
          </cell>
        </row>
        <row r="95">
          <cell r="A95"/>
          <cell r="N95" t="str">
            <v>Hall 5</v>
          </cell>
          <cell r="O95" t="str">
            <v>Banques</v>
          </cell>
          <cell r="P95">
            <v>28</v>
          </cell>
          <cell r="Q95">
            <v>28</v>
          </cell>
          <cell r="R95">
            <v>28</v>
          </cell>
          <cell r="S95">
            <v>28</v>
          </cell>
          <cell r="T95">
            <v>28</v>
          </cell>
          <cell r="U95">
            <v>28</v>
          </cell>
          <cell r="V95">
            <v>28</v>
          </cell>
          <cell r="W95">
            <v>28</v>
          </cell>
          <cell r="X95">
            <v>28</v>
          </cell>
        </row>
        <row r="96">
          <cell r="A96"/>
          <cell r="N96"/>
          <cell r="O96" t="str">
            <v>DBA</v>
          </cell>
          <cell r="P96">
            <v>16</v>
          </cell>
          <cell r="Q96">
            <v>16</v>
          </cell>
          <cell r="R96">
            <v>16</v>
          </cell>
          <cell r="S96">
            <v>16</v>
          </cell>
          <cell r="T96">
            <v>16</v>
          </cell>
          <cell r="U96">
            <v>16</v>
          </cell>
          <cell r="V96">
            <v>16</v>
          </cell>
          <cell r="W96">
            <v>16</v>
          </cell>
          <cell r="X96">
            <v>16</v>
          </cell>
        </row>
        <row r="97">
          <cell r="A97"/>
          <cell r="N97"/>
          <cell r="O97" t="str">
            <v>CUSS</v>
          </cell>
          <cell r="P97">
            <v>19</v>
          </cell>
          <cell r="Q97">
            <v>19</v>
          </cell>
          <cell r="R97">
            <v>19</v>
          </cell>
          <cell r="S97">
            <v>19</v>
          </cell>
          <cell r="T97">
            <v>19</v>
          </cell>
          <cell r="U97">
            <v>19</v>
          </cell>
          <cell r="V97">
            <v>19</v>
          </cell>
          <cell r="W97">
            <v>19</v>
          </cell>
          <cell r="X97">
            <v>19</v>
          </cell>
        </row>
        <row r="98">
          <cell r="A98"/>
          <cell r="N98" t="str">
            <v>Hall 6</v>
          </cell>
          <cell r="O98" t="str">
            <v>Banques</v>
          </cell>
          <cell r="P98">
            <v>0</v>
          </cell>
          <cell r="Q98">
            <v>0</v>
          </cell>
          <cell r="R98">
            <v>11</v>
          </cell>
          <cell r="S98">
            <v>11</v>
          </cell>
          <cell r="T98">
            <v>11</v>
          </cell>
          <cell r="U98">
            <v>11</v>
          </cell>
          <cell r="V98">
            <v>11</v>
          </cell>
          <cell r="W98">
            <v>11</v>
          </cell>
          <cell r="X98">
            <v>11</v>
          </cell>
        </row>
        <row r="99">
          <cell r="A99"/>
          <cell r="N99"/>
          <cell r="O99" t="str">
            <v>DBA</v>
          </cell>
          <cell r="P99">
            <v>0</v>
          </cell>
          <cell r="Q99">
            <v>0</v>
          </cell>
          <cell r="R99">
            <v>7</v>
          </cell>
          <cell r="S99">
            <v>7</v>
          </cell>
          <cell r="T99">
            <v>7</v>
          </cell>
          <cell r="U99">
            <v>7</v>
          </cell>
          <cell r="V99">
            <v>7</v>
          </cell>
          <cell r="W99">
            <v>7</v>
          </cell>
          <cell r="X99">
            <v>7</v>
          </cell>
        </row>
        <row r="100">
          <cell r="A100"/>
          <cell r="N100"/>
          <cell r="O100" t="str">
            <v>CUSS</v>
          </cell>
          <cell r="P100">
            <v>10</v>
          </cell>
          <cell r="Q100">
            <v>10</v>
          </cell>
          <cell r="R100">
            <v>10</v>
          </cell>
          <cell r="S100">
            <v>10</v>
          </cell>
          <cell r="T100">
            <v>10</v>
          </cell>
          <cell r="U100">
            <v>10</v>
          </cell>
          <cell r="V100">
            <v>10</v>
          </cell>
          <cell r="W100">
            <v>10</v>
          </cell>
          <cell r="X100">
            <v>10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124</v>
          </cell>
          <cell r="Q101">
            <v>124</v>
          </cell>
          <cell r="R101">
            <v>135</v>
          </cell>
          <cell r="S101">
            <v>135</v>
          </cell>
          <cell r="T101">
            <v>135</v>
          </cell>
          <cell r="U101">
            <v>135</v>
          </cell>
          <cell r="V101">
            <v>135</v>
          </cell>
          <cell r="W101">
            <v>135</v>
          </cell>
          <cell r="X101">
            <v>135</v>
          </cell>
        </row>
        <row r="102">
          <cell r="A102"/>
          <cell r="N102"/>
          <cell r="O102" t="str">
            <v>NB DBA</v>
          </cell>
          <cell r="P102">
            <v>80</v>
          </cell>
          <cell r="Q102">
            <v>80</v>
          </cell>
          <cell r="R102">
            <v>87</v>
          </cell>
          <cell r="S102">
            <v>87</v>
          </cell>
          <cell r="T102">
            <v>87</v>
          </cell>
          <cell r="U102">
            <v>87</v>
          </cell>
          <cell r="V102">
            <v>87</v>
          </cell>
          <cell r="W102">
            <v>87</v>
          </cell>
          <cell r="X102">
            <v>87</v>
          </cell>
        </row>
        <row r="103">
          <cell r="A103"/>
          <cell r="N103"/>
          <cell r="O103" t="str">
            <v>NB CUSS</v>
          </cell>
          <cell r="P103">
            <v>111</v>
          </cell>
          <cell r="Q103">
            <v>111</v>
          </cell>
          <cell r="R103">
            <v>125</v>
          </cell>
          <cell r="S103">
            <v>125</v>
          </cell>
          <cell r="T103">
            <v>125</v>
          </cell>
          <cell r="U103">
            <v>125</v>
          </cell>
          <cell r="V103">
            <v>125</v>
          </cell>
          <cell r="W103">
            <v>125</v>
          </cell>
          <cell r="X103">
            <v>125</v>
          </cell>
        </row>
        <row r="104">
          <cell r="A104"/>
          <cell r="N104"/>
          <cell r="O104"/>
        </row>
        <row r="105">
          <cell r="A105"/>
          <cell r="N105" t="str">
            <v>Débit</v>
          </cell>
          <cell r="P105">
            <v>22</v>
          </cell>
          <cell r="Q105">
            <v>22</v>
          </cell>
          <cell r="R105">
            <v>25</v>
          </cell>
          <cell r="S105">
            <v>25</v>
          </cell>
          <cell r="T105">
            <v>25</v>
          </cell>
          <cell r="U105">
            <v>25</v>
          </cell>
          <cell r="V105">
            <v>25</v>
          </cell>
          <cell r="W105">
            <v>25</v>
          </cell>
          <cell r="X105">
            <v>25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2318.7999999999997</v>
          </cell>
          <cell r="Q109">
            <v>2318.7999999999997</v>
          </cell>
          <cell r="R109">
            <v>2868.75</v>
          </cell>
          <cell r="S109">
            <v>2868.75</v>
          </cell>
          <cell r="T109">
            <v>2868.75</v>
          </cell>
          <cell r="U109">
            <v>2868.75</v>
          </cell>
          <cell r="V109">
            <v>2868.75</v>
          </cell>
          <cell r="W109">
            <v>2868.75</v>
          </cell>
          <cell r="X109">
            <v>2868.75</v>
          </cell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/>
          <cell r="O112"/>
        </row>
        <row r="113">
          <cell r="A113"/>
          <cell r="N113" t="str">
            <v>T1 -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Hall 1</v>
          </cell>
          <cell r="O114"/>
          <cell r="P114">
            <v>285</v>
          </cell>
          <cell r="Q114">
            <v>285</v>
          </cell>
          <cell r="R114">
            <v>285</v>
          </cell>
          <cell r="S114">
            <v>285</v>
          </cell>
          <cell r="T114">
            <v>285</v>
          </cell>
          <cell r="U114">
            <v>285</v>
          </cell>
          <cell r="V114">
            <v>285</v>
          </cell>
          <cell r="W114">
            <v>285</v>
          </cell>
          <cell r="X114">
            <v>285</v>
          </cell>
        </row>
        <row r="115">
          <cell r="A115"/>
          <cell r="N115" t="str">
            <v>Hall 2</v>
          </cell>
          <cell r="O115"/>
          <cell r="P115">
            <v>285</v>
          </cell>
          <cell r="Q115">
            <v>285</v>
          </cell>
          <cell r="R115">
            <v>285</v>
          </cell>
          <cell r="S115">
            <v>285</v>
          </cell>
          <cell r="T115">
            <v>285</v>
          </cell>
          <cell r="U115">
            <v>285</v>
          </cell>
          <cell r="V115">
            <v>285</v>
          </cell>
          <cell r="W115">
            <v>285</v>
          </cell>
          <cell r="X115">
            <v>285</v>
          </cell>
        </row>
        <row r="116">
          <cell r="A116"/>
          <cell r="N116" t="str">
            <v>Hall 3</v>
          </cell>
          <cell r="O116"/>
          <cell r="P116">
            <v>285</v>
          </cell>
          <cell r="Q116">
            <v>285</v>
          </cell>
          <cell r="R116">
            <v>285</v>
          </cell>
          <cell r="S116">
            <v>285</v>
          </cell>
          <cell r="T116">
            <v>285</v>
          </cell>
          <cell r="U116">
            <v>285</v>
          </cell>
          <cell r="V116">
            <v>285</v>
          </cell>
          <cell r="W116">
            <v>285</v>
          </cell>
          <cell r="X116">
            <v>285</v>
          </cell>
        </row>
        <row r="117">
          <cell r="A117"/>
          <cell r="N117" t="str">
            <v>Hall 4</v>
          </cell>
          <cell r="O117"/>
          <cell r="P117">
            <v>285</v>
          </cell>
          <cell r="Q117">
            <v>285</v>
          </cell>
          <cell r="R117">
            <v>285</v>
          </cell>
          <cell r="S117">
            <v>285</v>
          </cell>
          <cell r="T117">
            <v>285</v>
          </cell>
          <cell r="U117">
            <v>285</v>
          </cell>
          <cell r="V117">
            <v>285</v>
          </cell>
          <cell r="W117">
            <v>285</v>
          </cell>
          <cell r="X117">
            <v>285</v>
          </cell>
        </row>
        <row r="118">
          <cell r="A118"/>
          <cell r="N118" t="str">
            <v>Hall 5</v>
          </cell>
          <cell r="O118"/>
          <cell r="P118">
            <v>465</v>
          </cell>
          <cell r="Q118">
            <v>465</v>
          </cell>
          <cell r="R118">
            <v>465</v>
          </cell>
          <cell r="S118">
            <v>465</v>
          </cell>
          <cell r="T118">
            <v>465</v>
          </cell>
          <cell r="U118">
            <v>465</v>
          </cell>
          <cell r="V118">
            <v>465</v>
          </cell>
          <cell r="W118">
            <v>465</v>
          </cell>
          <cell r="X118">
            <v>465</v>
          </cell>
        </row>
        <row r="119">
          <cell r="A119"/>
          <cell r="N119" t="str">
            <v>Hall 6</v>
          </cell>
          <cell r="O119"/>
          <cell r="P119"/>
          <cell r="Q119"/>
          <cell r="R119">
            <v>190</v>
          </cell>
          <cell r="S119">
            <v>190</v>
          </cell>
          <cell r="T119">
            <v>190</v>
          </cell>
          <cell r="U119">
            <v>190</v>
          </cell>
          <cell r="V119">
            <v>190</v>
          </cell>
          <cell r="W119">
            <v>190</v>
          </cell>
          <cell r="X119">
            <v>190</v>
          </cell>
        </row>
        <row r="120">
          <cell r="A120"/>
          <cell r="N120" t="str">
            <v>SURFACE GLOBAL</v>
          </cell>
          <cell r="O120"/>
          <cell r="P120">
            <v>1605</v>
          </cell>
          <cell r="Q120">
            <v>1605</v>
          </cell>
          <cell r="R120">
            <v>1795</v>
          </cell>
          <cell r="S120">
            <v>1795</v>
          </cell>
          <cell r="T120">
            <v>1795</v>
          </cell>
          <cell r="U120">
            <v>1795</v>
          </cell>
          <cell r="V120">
            <v>1795</v>
          </cell>
          <cell r="W120">
            <v>1795</v>
          </cell>
          <cell r="X120">
            <v>1795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4585.7142857142862</v>
          </cell>
          <cell r="Q125">
            <v>4585.7142857142862</v>
          </cell>
          <cell r="R125">
            <v>5128.5714285714294</v>
          </cell>
          <cell r="S125">
            <v>5128.5714285714294</v>
          </cell>
          <cell r="T125">
            <v>5128.5714285714294</v>
          </cell>
          <cell r="U125">
            <v>5128.5714285714294</v>
          </cell>
          <cell r="V125">
            <v>5128.5714285714294</v>
          </cell>
          <cell r="W125">
            <v>5128.5714285714294</v>
          </cell>
          <cell r="X125">
            <v>5128.5714285714294</v>
          </cell>
        </row>
        <row r="126">
          <cell r="A126"/>
        </row>
        <row r="128">
          <cell r="A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</row>
        <row r="129">
          <cell r="A129" t="str">
            <v>Tri Bagage</v>
          </cell>
        </row>
        <row r="130">
          <cell r="A130"/>
          <cell r="O130" t="str">
            <v>T1 - PFT NET</v>
          </cell>
          <cell r="P130" t="str">
            <v>W22</v>
          </cell>
          <cell r="Q130" t="str">
            <v>S23</v>
          </cell>
          <cell r="R130" t="str">
            <v>W23</v>
          </cell>
          <cell r="S130" t="str">
            <v>S24</v>
          </cell>
          <cell r="T130" t="str">
            <v>W24</v>
          </cell>
          <cell r="U130" t="str">
            <v>S25</v>
          </cell>
          <cell r="V130" t="str">
            <v>W25</v>
          </cell>
          <cell r="W130" t="str">
            <v>S26</v>
          </cell>
          <cell r="X130" t="str">
            <v>W26</v>
          </cell>
        </row>
        <row r="131">
          <cell r="A131"/>
          <cell r="O131" t="str">
            <v>Nord (Hall 3)</v>
          </cell>
          <cell r="P131">
            <v>31</v>
          </cell>
          <cell r="Q131">
            <v>31</v>
          </cell>
          <cell r="R131">
            <v>31</v>
          </cell>
          <cell r="S131">
            <v>31</v>
          </cell>
          <cell r="T131">
            <v>31</v>
          </cell>
          <cell r="U131"/>
          <cell r="V131"/>
          <cell r="W131"/>
          <cell r="X131"/>
        </row>
        <row r="132">
          <cell r="A132"/>
          <cell r="O132" t="str">
            <v>Sud (Hall 1 + demi Hall 5 + Hall 6)</v>
          </cell>
          <cell r="P132">
            <v>35</v>
          </cell>
          <cell r="Q132">
            <v>35</v>
          </cell>
          <cell r="R132">
            <v>35</v>
          </cell>
          <cell r="S132">
            <v>35</v>
          </cell>
          <cell r="T132">
            <v>35</v>
          </cell>
          <cell r="U132"/>
          <cell r="V132"/>
          <cell r="W132"/>
          <cell r="X132"/>
        </row>
        <row r="133">
          <cell r="A133"/>
          <cell r="O133" t="str">
            <v>Est (Hall 2 + Hall 6)</v>
          </cell>
          <cell r="P133">
            <v>28</v>
          </cell>
          <cell r="Q133">
            <v>28</v>
          </cell>
          <cell r="R133">
            <v>28</v>
          </cell>
          <cell r="S133">
            <v>28</v>
          </cell>
          <cell r="T133">
            <v>28</v>
          </cell>
          <cell r="U133"/>
          <cell r="V133"/>
          <cell r="W133"/>
          <cell r="X133"/>
        </row>
        <row r="134">
          <cell r="A134"/>
          <cell r="O134" t="str">
            <v>Ouest (Hall 4 + demi Hall 5)</v>
          </cell>
          <cell r="P134">
            <v>41</v>
          </cell>
          <cell r="Q134">
            <v>41</v>
          </cell>
          <cell r="R134">
            <v>41</v>
          </cell>
          <cell r="S134">
            <v>41</v>
          </cell>
          <cell r="T134">
            <v>41</v>
          </cell>
          <cell r="U134"/>
          <cell r="V134"/>
          <cell r="W134"/>
          <cell r="X134"/>
        </row>
        <row r="135">
          <cell r="A135"/>
          <cell r="O135" t="str">
            <v>Sat 4</v>
          </cell>
          <cell r="P135">
            <v>0</v>
          </cell>
          <cell r="Q135">
            <v>18</v>
          </cell>
          <cell r="R135">
            <v>18</v>
          </cell>
          <cell r="S135">
            <v>18</v>
          </cell>
          <cell r="T135">
            <v>18</v>
          </cell>
          <cell r="U135"/>
          <cell r="V135"/>
          <cell r="W135"/>
          <cell r="X135"/>
        </row>
        <row r="136">
          <cell r="A136"/>
          <cell r="O136" t="str">
            <v>Total</v>
          </cell>
          <cell r="P136">
            <v>135</v>
          </cell>
          <cell r="Q136">
            <v>153</v>
          </cell>
          <cell r="R136">
            <v>153</v>
          </cell>
          <cell r="S136">
            <v>153</v>
          </cell>
          <cell r="T136">
            <v>153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/>
        </row>
        <row r="138">
          <cell r="A138"/>
          <cell r="O138" t="str">
            <v>PFT / Banques</v>
          </cell>
          <cell r="P138" t="str">
            <v>W22</v>
          </cell>
          <cell r="Q138" t="str">
            <v>S23</v>
          </cell>
          <cell r="R138" t="str">
            <v>W23</v>
          </cell>
          <cell r="S138" t="str">
            <v>S24</v>
          </cell>
          <cell r="T138" t="str">
            <v>W24</v>
          </cell>
          <cell r="U138" t="str">
            <v>S25</v>
          </cell>
          <cell r="V138" t="str">
            <v>W25</v>
          </cell>
          <cell r="W138" t="str">
            <v>S26</v>
          </cell>
          <cell r="X138" t="str">
            <v>W26</v>
          </cell>
        </row>
        <row r="139">
          <cell r="A139"/>
          <cell r="O139" t="str">
            <v>Nord (Hall 3)</v>
          </cell>
          <cell r="P139">
            <v>1.2916666666666667</v>
          </cell>
          <cell r="Q139">
            <v>1.2916666666666667</v>
          </cell>
          <cell r="R139">
            <v>1.2916666666666667</v>
          </cell>
          <cell r="S139">
            <v>1.2916666666666667</v>
          </cell>
          <cell r="T139">
            <v>1.2916666666666667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A140"/>
          <cell r="O140" t="str">
            <v>Sud (Hall 1 + demi Hall 5 + Hall 6)</v>
          </cell>
          <cell r="P140">
            <v>0.92105263157894735</v>
          </cell>
          <cell r="Q140">
            <v>0.92105263157894735</v>
          </cell>
          <cell r="R140">
            <v>0.92105263157894735</v>
          </cell>
          <cell r="S140">
            <v>0.92105263157894735</v>
          </cell>
          <cell r="T140">
            <v>0.92105263157894735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/>
          <cell r="O141" t="str">
            <v>Est (Hall 2 + Hall 6)</v>
          </cell>
          <cell r="P141">
            <v>1.1666666666666667</v>
          </cell>
          <cell r="Q141">
            <v>1.1666666666666667</v>
          </cell>
          <cell r="R141">
            <v>0.8</v>
          </cell>
          <cell r="S141">
            <v>0.8</v>
          </cell>
          <cell r="T141">
            <v>0.8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/>
          <cell r="O142" t="str">
            <v>Ouest (Hall 4 + demi Hall 5)</v>
          </cell>
          <cell r="P142">
            <v>1.0789473684210527</v>
          </cell>
          <cell r="Q142">
            <v>1.0789473684210527</v>
          </cell>
          <cell r="R142">
            <v>1.0789473684210527</v>
          </cell>
          <cell r="S142">
            <v>1.0789473684210527</v>
          </cell>
          <cell r="T142">
            <v>1.0789473684210527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/>
          <cell r="O143" t="str">
            <v>Sat 4</v>
          </cell>
        </row>
        <row r="144">
          <cell r="A144"/>
          <cell r="O144" t="str">
            <v>Global</v>
          </cell>
          <cell r="P144">
            <v>1.0887096774193548</v>
          </cell>
          <cell r="Q144">
            <v>1.2338709677419355</v>
          </cell>
          <cell r="R144">
            <v>1.1333333333333333</v>
          </cell>
          <cell r="S144">
            <v>1.1333333333333333</v>
          </cell>
          <cell r="T144">
            <v>1.1333333333333333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Frontières DEP</v>
          </cell>
          <cell r="H147" t="str">
            <v>Sans EES</v>
          </cell>
          <cell r="I147"/>
          <cell r="J147"/>
          <cell r="K147"/>
          <cell r="L147"/>
        </row>
        <row r="148">
          <cell r="A148"/>
          <cell r="H148" t="str">
            <v>QP Passeports</v>
          </cell>
          <cell r="I148"/>
          <cell r="J148" t="str">
            <v>T1 DEP</v>
          </cell>
          <cell r="K148" t="str">
            <v>Aubette</v>
          </cell>
          <cell r="L148" t="str">
            <v>Parafe</v>
          </cell>
          <cell r="M148"/>
          <cell r="N148"/>
          <cell r="O148" t="str">
            <v>T1 - PAF DEP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Z148"/>
        </row>
        <row r="149">
          <cell r="A149"/>
          <cell r="H149" t="str">
            <v>UE</v>
          </cell>
          <cell r="I149">
            <v>0.51</v>
          </cell>
          <cell r="J149" t="str">
            <v>Part modale</v>
          </cell>
          <cell r="K149"/>
          <cell r="L149"/>
          <cell r="N149"/>
          <cell r="Z149"/>
        </row>
        <row r="150">
          <cell r="A150"/>
          <cell r="H150" t="str">
            <v>RPT61</v>
          </cell>
          <cell r="I150">
            <v>0.35</v>
          </cell>
          <cell r="J150" t="str">
            <v>UE</v>
          </cell>
          <cell r="K150">
            <v>0.4</v>
          </cell>
          <cell r="L150">
            <v>0.6</v>
          </cell>
          <cell r="M150"/>
          <cell r="N150"/>
          <cell r="O150" t="str">
            <v>NB position aubette</v>
          </cell>
          <cell r="P150">
            <v>14</v>
          </cell>
          <cell r="Q150">
            <v>11</v>
          </cell>
          <cell r="R150">
            <v>11</v>
          </cell>
          <cell r="S150">
            <v>11</v>
          </cell>
          <cell r="T150">
            <v>11</v>
          </cell>
          <cell r="U150">
            <v>11</v>
          </cell>
          <cell r="V150">
            <v>11</v>
          </cell>
          <cell r="W150">
            <v>11</v>
          </cell>
          <cell r="X150">
            <v>15</v>
          </cell>
          <cell r="Z150"/>
        </row>
        <row r="151">
          <cell r="A151"/>
          <cell r="H151" t="str">
            <v>Autres TP</v>
          </cell>
          <cell r="I151">
            <v>0.14000000000000001</v>
          </cell>
          <cell r="J151" t="str">
            <v>RPT61</v>
          </cell>
          <cell r="K151">
            <v>0.4</v>
          </cell>
          <cell r="L151">
            <v>0.6</v>
          </cell>
          <cell r="M151"/>
          <cell r="N151"/>
          <cell r="O151" t="str">
            <v>Débit unitaire</v>
          </cell>
          <cell r="P151">
            <v>100</v>
          </cell>
          <cell r="Q151">
            <v>103.88743143334126</v>
          </cell>
          <cell r="R151">
            <v>103.88743143334126</v>
          </cell>
          <cell r="S151">
            <v>103.88743143334126</v>
          </cell>
          <cell r="T151">
            <v>103.88743143334126</v>
          </cell>
          <cell r="U151">
            <v>103.88743143334126</v>
          </cell>
          <cell r="V151">
            <v>103.88743143334101</v>
          </cell>
          <cell r="W151">
            <v>105</v>
          </cell>
          <cell r="X151">
            <v>106</v>
          </cell>
          <cell r="Z151"/>
        </row>
        <row r="152">
          <cell r="A152"/>
          <cell r="I152"/>
          <cell r="J152" t="str">
            <v>Autres TP</v>
          </cell>
          <cell r="K152">
            <v>1</v>
          </cell>
          <cell r="L152"/>
          <cell r="M152"/>
          <cell r="N152"/>
          <cell r="O152" t="str">
            <v>Débit Aubette</v>
          </cell>
          <cell r="P152">
            <v>1400</v>
          </cell>
          <cell r="Q152">
            <v>1142.7617457667538</v>
          </cell>
          <cell r="R152">
            <v>1142.7617457667538</v>
          </cell>
          <cell r="S152">
            <v>1142.7617457667538</v>
          </cell>
          <cell r="T152">
            <v>1142.7617457667538</v>
          </cell>
          <cell r="U152">
            <v>1142.7617457667538</v>
          </cell>
          <cell r="V152">
            <v>1142.7617457667511</v>
          </cell>
          <cell r="W152">
            <v>1155</v>
          </cell>
          <cell r="X152">
            <v>1590</v>
          </cell>
          <cell r="Z152"/>
        </row>
        <row r="153">
          <cell r="A153"/>
          <cell r="J153" t="str">
            <v>TTU</v>
          </cell>
          <cell r="K153"/>
          <cell r="L153"/>
          <cell r="P153"/>
          <cell r="Q153"/>
          <cell r="R153"/>
          <cell r="S153"/>
          <cell r="T153"/>
          <cell r="U153"/>
          <cell r="V153"/>
        </row>
        <row r="154">
          <cell r="A154"/>
          <cell r="J154" t="str">
            <v>UE</v>
          </cell>
          <cell r="K154">
            <v>28</v>
          </cell>
          <cell r="L154">
            <v>31</v>
          </cell>
          <cell r="M154"/>
          <cell r="O154" t="str">
            <v>NB Parafes</v>
          </cell>
          <cell r="P154">
            <v>3</v>
          </cell>
          <cell r="Q154">
            <v>8</v>
          </cell>
          <cell r="R154">
            <v>8</v>
          </cell>
          <cell r="S154">
            <v>8</v>
          </cell>
          <cell r="T154">
            <v>8</v>
          </cell>
          <cell r="U154">
            <v>8</v>
          </cell>
          <cell r="V154">
            <v>8</v>
          </cell>
          <cell r="W154">
            <v>8</v>
          </cell>
          <cell r="X154">
            <v>8</v>
          </cell>
        </row>
        <row r="155">
          <cell r="A155"/>
          <cell r="J155" t="str">
            <v>RPT61</v>
          </cell>
          <cell r="K155">
            <v>39.5</v>
          </cell>
          <cell r="L155">
            <v>31</v>
          </cell>
          <cell r="O155" t="str">
            <v>Débit unitaire</v>
          </cell>
          <cell r="P155">
            <v>116</v>
          </cell>
          <cell r="Q155">
            <v>116</v>
          </cell>
          <cell r="R155">
            <v>116</v>
          </cell>
          <cell r="S155">
            <v>116</v>
          </cell>
          <cell r="T155">
            <v>116</v>
          </cell>
          <cell r="U155">
            <v>116</v>
          </cell>
          <cell r="V155">
            <v>116</v>
          </cell>
          <cell r="W155">
            <v>116</v>
          </cell>
          <cell r="X155">
            <v>116</v>
          </cell>
        </row>
        <row r="156">
          <cell r="A156"/>
          <cell r="J156" t="str">
            <v>Autres TP</v>
          </cell>
          <cell r="K156">
            <v>39.5</v>
          </cell>
          <cell r="L156"/>
          <cell r="M156"/>
          <cell r="O156" t="str">
            <v>Débit Parafe</v>
          </cell>
          <cell r="P156">
            <v>348</v>
          </cell>
          <cell r="Q156">
            <v>928</v>
          </cell>
          <cell r="R156">
            <v>928</v>
          </cell>
          <cell r="S156">
            <v>928</v>
          </cell>
          <cell r="T156">
            <v>928</v>
          </cell>
          <cell r="U156">
            <v>928</v>
          </cell>
          <cell r="V156">
            <v>928</v>
          </cell>
          <cell r="W156">
            <v>928</v>
          </cell>
          <cell r="X156">
            <v>928</v>
          </cell>
        </row>
        <row r="157">
          <cell r="A157"/>
          <cell r="J157" t="str">
            <v>Résultante unitaire</v>
          </cell>
          <cell r="K157"/>
          <cell r="L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>PM</v>
          </cell>
          <cell r="K158">
            <v>0.48399999999999999</v>
          </cell>
          <cell r="L158">
            <v>0.51600000000000001</v>
          </cell>
          <cell r="M158"/>
          <cell r="O158" t="str">
            <v>Débit PAF DEP</v>
          </cell>
          <cell r="P158">
            <v>1748</v>
          </cell>
          <cell r="Q158">
            <v>2070.7617457667538</v>
          </cell>
          <cell r="R158">
            <v>2070.7617457667538</v>
          </cell>
          <cell r="S158">
            <v>2070.7617457667538</v>
          </cell>
          <cell r="T158">
            <v>2070.7617457667538</v>
          </cell>
          <cell r="U158">
            <v>2070.7617457667538</v>
          </cell>
          <cell r="V158">
            <v>2070.7617457667511</v>
          </cell>
          <cell r="W158">
            <v>2083</v>
          </cell>
          <cell r="X158">
            <v>2518</v>
          </cell>
        </row>
        <row r="159">
          <cell r="A159"/>
          <cell r="J159" t="str">
            <v>TTU</v>
          </cell>
          <cell r="K159">
            <v>34.652892561983478</v>
          </cell>
          <cell r="L159">
            <v>31</v>
          </cell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 t="str">
            <v xml:space="preserve">Débit unitaire </v>
          </cell>
          <cell r="K160">
            <v>103.88743143334126</v>
          </cell>
          <cell r="L160">
            <v>116.12903225806451</v>
          </cell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J161"/>
          <cell r="K161"/>
          <cell r="L161"/>
          <cell r="M161"/>
          <cell r="P161"/>
          <cell r="Q161"/>
          <cell r="R161"/>
          <cell r="S161"/>
          <cell r="T161"/>
          <cell r="U161"/>
          <cell r="V161"/>
        </row>
        <row r="162">
          <cell r="A162"/>
          <cell r="J162"/>
          <cell r="K162"/>
          <cell r="L162"/>
          <cell r="M162"/>
          <cell r="O162" t="str">
            <v>T1 - Surface PAF DEP</v>
          </cell>
          <cell r="P162" t="str">
            <v>W22</v>
          </cell>
          <cell r="Q162" t="str">
            <v>S23</v>
          </cell>
          <cell r="R162" t="str">
            <v>W23</v>
          </cell>
          <cell r="S162" t="str">
            <v>S24</v>
          </cell>
          <cell r="T162" t="str">
            <v>W24</v>
          </cell>
          <cell r="U162" t="str">
            <v>S25</v>
          </cell>
          <cell r="V162" t="str">
            <v>W25</v>
          </cell>
          <cell r="W162" t="str">
            <v>S26</v>
          </cell>
          <cell r="X162" t="str">
            <v>W26</v>
          </cell>
        </row>
        <row r="163">
          <cell r="A163"/>
          <cell r="H163" t="str">
            <v>Avec EES</v>
          </cell>
          <cell r="I163"/>
          <cell r="J163"/>
          <cell r="K163"/>
          <cell r="L163"/>
          <cell r="O163"/>
        </row>
        <row r="164">
          <cell r="A164"/>
          <cell r="H164" t="str">
            <v>QP Passeports</v>
          </cell>
          <cell r="I164"/>
          <cell r="J164" t="str">
            <v>T1 DEP</v>
          </cell>
          <cell r="K164" t="str">
            <v>Aubette</v>
          </cell>
          <cell r="L164" t="str">
            <v>Parafe</v>
          </cell>
          <cell r="M164"/>
          <cell r="O164" t="str">
            <v>SURFACE GLOBAL</v>
          </cell>
          <cell r="P164">
            <v>420</v>
          </cell>
          <cell r="Q164">
            <v>420</v>
          </cell>
          <cell r="R164">
            <v>420</v>
          </cell>
          <cell r="S164">
            <v>420</v>
          </cell>
          <cell r="T164">
            <v>420</v>
          </cell>
          <cell r="U164">
            <v>420</v>
          </cell>
          <cell r="V164">
            <v>420</v>
          </cell>
          <cell r="W164">
            <v>420</v>
          </cell>
          <cell r="X164">
            <v>420</v>
          </cell>
        </row>
        <row r="165">
          <cell r="A165"/>
          <cell r="H165" t="str">
            <v>UE</v>
          </cell>
          <cell r="I165">
            <v>0.51</v>
          </cell>
          <cell r="J165" t="str">
            <v>Part modale</v>
          </cell>
          <cell r="K165"/>
          <cell r="L165"/>
        </row>
        <row r="166">
          <cell r="A166"/>
          <cell r="E166"/>
          <cell r="H166" t="str">
            <v>RPT61</v>
          </cell>
          <cell r="I166">
            <v>0.35</v>
          </cell>
          <cell r="J166" t="str">
            <v>UE</v>
          </cell>
          <cell r="K166">
            <v>0.4</v>
          </cell>
          <cell r="L166">
            <v>0.6</v>
          </cell>
          <cell r="M166"/>
          <cell r="O166" t="str">
            <v>Temps d'attente maximum (min)</v>
          </cell>
          <cell r="P166">
            <v>20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20</v>
          </cell>
          <cell r="V166">
            <v>20</v>
          </cell>
          <cell r="W166">
            <v>20</v>
          </cell>
          <cell r="X166">
            <v>20</v>
          </cell>
        </row>
        <row r="167">
          <cell r="A167"/>
          <cell r="H167" t="str">
            <v>Autres TP</v>
          </cell>
          <cell r="I167">
            <v>0.14000000000000001</v>
          </cell>
          <cell r="J167" t="str">
            <v>RPT61</v>
          </cell>
          <cell r="K167">
            <v>0.4</v>
          </cell>
          <cell r="L167">
            <v>0.6</v>
          </cell>
          <cell r="M167"/>
          <cell r="O167" t="str">
            <v>Standard IATA C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</row>
        <row r="168">
          <cell r="A168"/>
          <cell r="I168"/>
          <cell r="J168" t="str">
            <v>Autres TP</v>
          </cell>
          <cell r="K168">
            <v>1</v>
          </cell>
          <cell r="L168"/>
          <cell r="M168"/>
        </row>
        <row r="169">
          <cell r="A169"/>
          <cell r="J169" t="str">
            <v>TTU</v>
          </cell>
          <cell r="K169"/>
          <cell r="L169"/>
          <cell r="O169" t="str">
            <v>Attente PAF DEP</v>
          </cell>
          <cell r="P169">
            <v>1260</v>
          </cell>
          <cell r="Q169">
            <v>1260</v>
          </cell>
          <cell r="R169">
            <v>1260</v>
          </cell>
          <cell r="S169">
            <v>1260</v>
          </cell>
          <cell r="T169">
            <v>1260</v>
          </cell>
          <cell r="U169">
            <v>1260</v>
          </cell>
          <cell r="V169">
            <v>1260</v>
          </cell>
          <cell r="W169">
            <v>1260</v>
          </cell>
          <cell r="X169">
            <v>1260</v>
          </cell>
        </row>
        <row r="170">
          <cell r="A170"/>
          <cell r="H170"/>
          <cell r="J170" t="str">
            <v>UE</v>
          </cell>
          <cell r="K170">
            <v>28</v>
          </cell>
          <cell r="L170">
            <v>31</v>
          </cell>
          <cell r="M170"/>
        </row>
        <row r="171">
          <cell r="A171"/>
          <cell r="H171"/>
          <cell r="J171" t="str">
            <v>RPT61</v>
          </cell>
          <cell r="K171">
            <v>39</v>
          </cell>
          <cell r="L171">
            <v>31</v>
          </cell>
        </row>
        <row r="172">
          <cell r="A172"/>
          <cell r="J172" t="str">
            <v>Autres TP</v>
          </cell>
          <cell r="K172">
            <v>39</v>
          </cell>
          <cell r="L172"/>
          <cell r="M172"/>
        </row>
        <row r="173">
          <cell r="A173"/>
          <cell r="J173" t="str">
            <v>Résultante unitaire</v>
          </cell>
          <cell r="K173"/>
          <cell r="L173"/>
        </row>
        <row r="174">
          <cell r="A174"/>
          <cell r="J174" t="str">
            <v>PM</v>
          </cell>
          <cell r="K174">
            <v>0.48399999999999999</v>
          </cell>
          <cell r="L174">
            <v>0.51600000000000001</v>
          </cell>
          <cell r="M174"/>
        </row>
        <row r="175">
          <cell r="A175"/>
          <cell r="J175" t="str">
            <v>TTU</v>
          </cell>
          <cell r="K175">
            <v>34.363636363636367</v>
          </cell>
          <cell r="L175">
            <v>31</v>
          </cell>
          <cell r="M175"/>
        </row>
        <row r="176">
          <cell r="A176"/>
          <cell r="J176" t="str">
            <v xml:space="preserve">Débit unitaire </v>
          </cell>
          <cell r="K176">
            <v>104.76190476190474</v>
          </cell>
          <cell r="L176">
            <v>116.12903225806451</v>
          </cell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9">
          <cell r="A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</row>
        <row r="180">
          <cell r="A180" t="str">
            <v>PIF</v>
          </cell>
        </row>
        <row r="181">
          <cell r="A181"/>
          <cell r="H181"/>
          <cell r="I181"/>
          <cell r="O181" t="str">
            <v>T1 - PIF Jonction</v>
          </cell>
          <cell r="P181" t="str">
            <v>W22</v>
          </cell>
          <cell r="Q181" t="str">
            <v>S23</v>
          </cell>
          <cell r="R181" t="str">
            <v>W23</v>
          </cell>
          <cell r="S181" t="str">
            <v>S24</v>
          </cell>
          <cell r="T181" t="str">
            <v>W24</v>
          </cell>
          <cell r="U181" t="str">
            <v>S25</v>
          </cell>
          <cell r="V181" t="str">
            <v>W25</v>
          </cell>
          <cell r="W181" t="str">
            <v>S26</v>
          </cell>
          <cell r="X181" t="str">
            <v>W26</v>
          </cell>
          <cell r="Y181"/>
        </row>
        <row r="182">
          <cell r="A182"/>
          <cell r="I182"/>
          <cell r="J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I183"/>
          <cell r="J183"/>
          <cell r="O183" t="str">
            <v>NB LAM classique</v>
          </cell>
          <cell r="P183">
            <v>8</v>
          </cell>
          <cell r="Q183">
            <v>8</v>
          </cell>
          <cell r="R183">
            <v>8</v>
          </cell>
          <cell r="S183">
            <v>8</v>
          </cell>
          <cell r="T183">
            <v>8</v>
          </cell>
          <cell r="U183">
            <v>8</v>
          </cell>
          <cell r="V183">
            <v>8</v>
          </cell>
          <cell r="W183">
            <v>4</v>
          </cell>
          <cell r="X183">
            <v>3</v>
          </cell>
          <cell r="Y183"/>
        </row>
        <row r="184">
          <cell r="A184"/>
          <cell r="I184"/>
          <cell r="J184"/>
          <cell r="O184" t="str">
            <v>Débit LAM classique</v>
          </cell>
          <cell r="P184">
            <v>220</v>
          </cell>
          <cell r="Q184">
            <v>220</v>
          </cell>
          <cell r="R184">
            <v>220</v>
          </cell>
          <cell r="S184">
            <v>200</v>
          </cell>
          <cell r="T184">
            <v>200</v>
          </cell>
          <cell r="U184">
            <v>200</v>
          </cell>
          <cell r="V184">
            <v>230</v>
          </cell>
          <cell r="W184">
            <v>230</v>
          </cell>
          <cell r="X184">
            <v>230</v>
          </cell>
          <cell r="Y184"/>
        </row>
        <row r="185">
          <cell r="A185"/>
          <cell r="I185"/>
          <cell r="J185"/>
          <cell r="Y185"/>
        </row>
        <row r="186">
          <cell r="A186"/>
          <cell r="I186"/>
          <cell r="J186"/>
          <cell r="O186" t="str">
            <v>NB LAM EDSC</v>
          </cell>
          <cell r="P186"/>
          <cell r="Q186"/>
          <cell r="R186"/>
          <cell r="S186">
            <v>2</v>
          </cell>
          <cell r="T186">
            <v>2</v>
          </cell>
          <cell r="U186">
            <v>2</v>
          </cell>
          <cell r="V186">
            <v>2</v>
          </cell>
          <cell r="W186">
            <v>6</v>
          </cell>
          <cell r="X186">
            <v>7</v>
          </cell>
          <cell r="Y186"/>
        </row>
        <row r="187">
          <cell r="A187"/>
          <cell r="I187"/>
          <cell r="J187"/>
          <cell r="O187" t="str">
            <v>Débit LAM EDSC</v>
          </cell>
          <cell r="S187">
            <v>200</v>
          </cell>
          <cell r="T187">
            <v>200</v>
          </cell>
          <cell r="U187">
            <v>200</v>
          </cell>
          <cell r="V187">
            <v>250</v>
          </cell>
          <cell r="W187">
            <v>250</v>
          </cell>
          <cell r="X187">
            <v>250</v>
          </cell>
          <cell r="Y187"/>
        </row>
        <row r="188">
          <cell r="A188"/>
          <cell r="I188"/>
          <cell r="J188"/>
          <cell r="Y188"/>
        </row>
        <row r="189">
          <cell r="A189"/>
          <cell r="O189" t="str">
            <v>NB Ligne HF</v>
          </cell>
          <cell r="P189">
            <v>1</v>
          </cell>
          <cell r="Q189">
            <v>3</v>
          </cell>
          <cell r="R189">
            <v>3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 t="str">
            <v>Débit STD</v>
          </cell>
          <cell r="P190">
            <v>140</v>
          </cell>
          <cell r="Q190">
            <v>140</v>
          </cell>
          <cell r="R190">
            <v>140</v>
          </cell>
          <cell r="S190">
            <v>140</v>
          </cell>
          <cell r="T190">
            <v>140</v>
          </cell>
          <cell r="U190">
            <v>140</v>
          </cell>
          <cell r="V190">
            <v>140</v>
          </cell>
          <cell r="W190">
            <v>140</v>
          </cell>
          <cell r="X190">
            <v>140</v>
          </cell>
          <cell r="Y190"/>
        </row>
        <row r="191">
          <cell r="A191"/>
          <cell r="Y191"/>
        </row>
        <row r="192">
          <cell r="A192"/>
          <cell r="O192" t="str">
            <v>Débit PIF Jonction</v>
          </cell>
          <cell r="P192">
            <v>1900</v>
          </cell>
          <cell r="Q192">
            <v>2180</v>
          </cell>
          <cell r="R192">
            <v>2180</v>
          </cell>
          <cell r="S192">
            <v>2140</v>
          </cell>
          <cell r="T192">
            <v>2140</v>
          </cell>
          <cell r="U192">
            <v>2140</v>
          </cell>
          <cell r="V192">
            <v>2480</v>
          </cell>
          <cell r="W192">
            <v>2560</v>
          </cell>
          <cell r="X192">
            <v>2580</v>
          </cell>
          <cell r="Y192"/>
        </row>
        <row r="193">
          <cell r="A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</row>
        <row r="194">
          <cell r="A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</row>
        <row r="195">
          <cell r="A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</row>
        <row r="196">
          <cell r="A196"/>
          <cell r="O196" t="str">
            <v>T1 - PIF SAT4</v>
          </cell>
          <cell r="P196" t="str">
            <v>W22</v>
          </cell>
          <cell r="Q196" t="str">
            <v>S23</v>
          </cell>
          <cell r="R196" t="str">
            <v>W23</v>
          </cell>
          <cell r="S196" t="str">
            <v>S24</v>
          </cell>
          <cell r="T196" t="str">
            <v>W24</v>
          </cell>
          <cell r="U196" t="str">
            <v>S25</v>
          </cell>
          <cell r="V196" t="str">
            <v>W25</v>
          </cell>
          <cell r="W196" t="str">
            <v>S26</v>
          </cell>
          <cell r="X196" t="str">
            <v>W26</v>
          </cell>
          <cell r="Y196"/>
          <cell r="Z196"/>
        </row>
        <row r="197">
          <cell r="A197"/>
          <cell r="R197"/>
          <cell r="S197"/>
          <cell r="T197"/>
          <cell r="U197"/>
          <cell r="V197"/>
          <cell r="W197"/>
          <cell r="X197"/>
          <cell r="Y197"/>
        </row>
        <row r="198">
          <cell r="A198"/>
          <cell r="O198" t="str">
            <v>NB LAM</v>
          </cell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</row>
        <row r="199">
          <cell r="A199"/>
          <cell r="O199" t="str">
            <v>Débit LAM</v>
          </cell>
          <cell r="T199"/>
          <cell r="U199"/>
          <cell r="V199"/>
          <cell r="W199"/>
          <cell r="X199"/>
          <cell r="Y199"/>
        </row>
        <row r="200">
          <cell r="A200"/>
          <cell r="T200"/>
          <cell r="U200"/>
          <cell r="V200"/>
          <cell r="W200"/>
          <cell r="X200"/>
          <cell r="Y200"/>
        </row>
        <row r="201">
          <cell r="A201"/>
          <cell r="O201" t="str">
            <v>NB STD</v>
          </cell>
          <cell r="P201">
            <v>4</v>
          </cell>
          <cell r="Q201">
            <v>4</v>
          </cell>
          <cell r="R201">
            <v>4</v>
          </cell>
          <cell r="S201">
            <v>4</v>
          </cell>
          <cell r="T201">
            <v>4</v>
          </cell>
          <cell r="U201">
            <v>4</v>
          </cell>
          <cell r="V201">
            <v>4</v>
          </cell>
          <cell r="W201">
            <v>4</v>
          </cell>
          <cell r="X201">
            <v>4</v>
          </cell>
          <cell r="Y201"/>
        </row>
        <row r="202">
          <cell r="A202"/>
          <cell r="O202" t="str">
            <v>Débit STD</v>
          </cell>
          <cell r="P202">
            <v>120</v>
          </cell>
          <cell r="Q202">
            <v>120</v>
          </cell>
          <cell r="R202">
            <v>120</v>
          </cell>
          <cell r="S202">
            <v>130</v>
          </cell>
          <cell r="T202">
            <v>130</v>
          </cell>
          <cell r="U202">
            <v>130</v>
          </cell>
          <cell r="V202">
            <v>130</v>
          </cell>
          <cell r="W202">
            <v>130</v>
          </cell>
          <cell r="X202">
            <v>130</v>
          </cell>
          <cell r="Y202"/>
        </row>
        <row r="203">
          <cell r="A203"/>
          <cell r="T203"/>
          <cell r="U203"/>
          <cell r="V203"/>
          <cell r="W203"/>
          <cell r="X203"/>
          <cell r="Y203"/>
        </row>
        <row r="204">
          <cell r="A204"/>
          <cell r="O204" t="str">
            <v>Débit PIF SAT4</v>
          </cell>
          <cell r="P204">
            <v>480</v>
          </cell>
          <cell r="Q204">
            <v>480</v>
          </cell>
          <cell r="R204">
            <v>480</v>
          </cell>
          <cell r="S204">
            <v>520</v>
          </cell>
          <cell r="T204">
            <v>520</v>
          </cell>
          <cell r="U204">
            <v>520</v>
          </cell>
          <cell r="V204">
            <v>520</v>
          </cell>
          <cell r="W204">
            <v>520</v>
          </cell>
          <cell r="X204">
            <v>520</v>
          </cell>
          <cell r="Y204"/>
        </row>
        <row r="205">
          <cell r="A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</row>
        <row r="206">
          <cell r="A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</row>
        <row r="207">
          <cell r="A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</row>
        <row r="208">
          <cell r="A208"/>
          <cell r="O208" t="str">
            <v>T1 - PIF SAT5</v>
          </cell>
          <cell r="P208" t="str">
            <v>W22</v>
          </cell>
          <cell r="Q208" t="str">
            <v>S23</v>
          </cell>
          <cell r="R208" t="str">
            <v>W23</v>
          </cell>
          <cell r="S208" t="str">
            <v>S24</v>
          </cell>
          <cell r="T208" t="str">
            <v>W24</v>
          </cell>
          <cell r="U208" t="str">
            <v>S25</v>
          </cell>
          <cell r="V208" t="str">
            <v>W25</v>
          </cell>
          <cell r="W208" t="str">
            <v>S26</v>
          </cell>
          <cell r="X208" t="str">
            <v>W26</v>
          </cell>
          <cell r="Y208"/>
          <cell r="Z208"/>
        </row>
        <row r="209">
          <cell r="A209"/>
          <cell r="R209"/>
          <cell r="S209"/>
          <cell r="T209"/>
          <cell r="U209"/>
          <cell r="V209"/>
          <cell r="W209"/>
          <cell r="X209"/>
          <cell r="Y209"/>
        </row>
        <row r="210">
          <cell r="A210"/>
          <cell r="O210" t="str">
            <v>NB LAM</v>
          </cell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</row>
        <row r="211">
          <cell r="A211"/>
          <cell r="O211" t="str">
            <v>Débit LAM</v>
          </cell>
          <cell r="R211"/>
          <cell r="S211"/>
          <cell r="T211"/>
          <cell r="U211"/>
          <cell r="V211"/>
          <cell r="W211"/>
          <cell r="X211"/>
          <cell r="Y211"/>
        </row>
        <row r="212">
          <cell r="A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/>
          <cell r="O213" t="str">
            <v>NB STD</v>
          </cell>
          <cell r="P213">
            <v>3</v>
          </cell>
          <cell r="Q213">
            <v>3</v>
          </cell>
          <cell r="R213">
            <v>3</v>
          </cell>
          <cell r="S213">
            <v>3</v>
          </cell>
          <cell r="T213">
            <v>3</v>
          </cell>
          <cell r="U213">
            <v>3</v>
          </cell>
          <cell r="V213">
            <v>3</v>
          </cell>
          <cell r="W213">
            <v>3</v>
          </cell>
          <cell r="X213">
            <v>3</v>
          </cell>
          <cell r="Y213"/>
        </row>
        <row r="214">
          <cell r="A214"/>
          <cell r="O214" t="str">
            <v>Débit STD</v>
          </cell>
          <cell r="P214">
            <v>120</v>
          </cell>
          <cell r="Q214">
            <v>120</v>
          </cell>
          <cell r="R214">
            <v>120</v>
          </cell>
          <cell r="S214">
            <v>130</v>
          </cell>
          <cell r="T214">
            <v>130</v>
          </cell>
          <cell r="U214">
            <v>130</v>
          </cell>
          <cell r="V214">
            <v>130</v>
          </cell>
          <cell r="W214">
            <v>130</v>
          </cell>
          <cell r="X214">
            <v>130</v>
          </cell>
          <cell r="Y214"/>
        </row>
        <row r="215">
          <cell r="A215"/>
          <cell r="U215"/>
          <cell r="V215"/>
          <cell r="W215"/>
          <cell r="X215"/>
          <cell r="Y215"/>
        </row>
        <row r="216">
          <cell r="A216"/>
          <cell r="O216" t="str">
            <v>Débit PIF SAT5</v>
          </cell>
          <cell r="P216">
            <v>360</v>
          </cell>
          <cell r="Q216">
            <v>360</v>
          </cell>
          <cell r="R216">
            <v>360</v>
          </cell>
          <cell r="S216">
            <v>390</v>
          </cell>
          <cell r="T216">
            <v>390</v>
          </cell>
          <cell r="U216">
            <v>390</v>
          </cell>
          <cell r="V216">
            <v>390</v>
          </cell>
          <cell r="W216">
            <v>390</v>
          </cell>
          <cell r="X216">
            <v>390</v>
          </cell>
          <cell r="Y216"/>
        </row>
        <row r="217">
          <cell r="A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</row>
        <row r="218">
          <cell r="A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</row>
        <row r="219">
          <cell r="A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</row>
        <row r="220">
          <cell r="A220"/>
          <cell r="O220" t="str">
            <v>T1 - PIF SAT6</v>
          </cell>
          <cell r="P220" t="str">
            <v>W22</v>
          </cell>
          <cell r="Q220" t="str">
            <v>S23</v>
          </cell>
          <cell r="R220" t="str">
            <v>W23</v>
          </cell>
          <cell r="S220" t="str">
            <v>S24</v>
          </cell>
          <cell r="T220" t="str">
            <v>W24</v>
          </cell>
          <cell r="U220" t="str">
            <v>S25</v>
          </cell>
          <cell r="V220" t="str">
            <v>W25</v>
          </cell>
          <cell r="W220" t="str">
            <v>S26</v>
          </cell>
          <cell r="X220" t="str">
            <v>W26</v>
          </cell>
          <cell r="Y220"/>
          <cell r="Z220"/>
        </row>
        <row r="221">
          <cell r="A221"/>
          <cell r="R221"/>
          <cell r="S221"/>
          <cell r="T221"/>
          <cell r="U221"/>
          <cell r="V221"/>
          <cell r="W221"/>
          <cell r="X221"/>
          <cell r="Y221"/>
        </row>
        <row r="222">
          <cell r="A222"/>
          <cell r="O222" t="str">
            <v>NB LAM</v>
          </cell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</row>
        <row r="223">
          <cell r="A223"/>
          <cell r="O223" t="str">
            <v>Débit LAM</v>
          </cell>
          <cell r="R223"/>
          <cell r="S223"/>
          <cell r="T223"/>
          <cell r="U223"/>
          <cell r="V223"/>
          <cell r="W223"/>
          <cell r="X223"/>
          <cell r="Y223"/>
        </row>
        <row r="224">
          <cell r="A224"/>
          <cell r="R224"/>
          <cell r="S224"/>
          <cell r="T224"/>
          <cell r="U224"/>
          <cell r="V224"/>
          <cell r="W224"/>
          <cell r="X224"/>
          <cell r="Y224"/>
        </row>
        <row r="225">
          <cell r="A225"/>
          <cell r="O225" t="str">
            <v>NB STD</v>
          </cell>
          <cell r="P225">
            <v>4</v>
          </cell>
          <cell r="Q225">
            <v>4</v>
          </cell>
          <cell r="R225">
            <v>4</v>
          </cell>
          <cell r="S225">
            <v>4</v>
          </cell>
          <cell r="T225">
            <v>4</v>
          </cell>
          <cell r="U225">
            <v>4</v>
          </cell>
          <cell r="V225">
            <v>4</v>
          </cell>
          <cell r="W225">
            <v>4</v>
          </cell>
          <cell r="X225">
            <v>4</v>
          </cell>
          <cell r="Y225"/>
        </row>
        <row r="226">
          <cell r="A226"/>
          <cell r="O226" t="str">
            <v>Débit STD</v>
          </cell>
          <cell r="P226">
            <v>120</v>
          </cell>
          <cell r="Q226">
            <v>120</v>
          </cell>
          <cell r="R226">
            <v>120</v>
          </cell>
          <cell r="S226">
            <v>130</v>
          </cell>
          <cell r="T226">
            <v>130</v>
          </cell>
          <cell r="U226">
            <v>130</v>
          </cell>
          <cell r="V226">
            <v>130</v>
          </cell>
          <cell r="W226">
            <v>130</v>
          </cell>
          <cell r="X226">
            <v>130</v>
          </cell>
          <cell r="Y226"/>
        </row>
        <row r="227">
          <cell r="A227"/>
          <cell r="Y227"/>
        </row>
        <row r="228">
          <cell r="A228"/>
          <cell r="O228" t="str">
            <v>Débit PIF SAT6</v>
          </cell>
          <cell r="P228">
            <v>480</v>
          </cell>
          <cell r="Q228">
            <v>480</v>
          </cell>
          <cell r="R228">
            <v>480</v>
          </cell>
          <cell r="S228">
            <v>520</v>
          </cell>
          <cell r="T228">
            <v>520</v>
          </cell>
          <cell r="U228">
            <v>520</v>
          </cell>
          <cell r="V228">
            <v>520</v>
          </cell>
          <cell r="W228">
            <v>520</v>
          </cell>
          <cell r="X228">
            <v>520</v>
          </cell>
          <cell r="Y228"/>
        </row>
        <row r="229">
          <cell r="A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</row>
        <row r="230">
          <cell r="A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/>
          <cell r="O231" t="str">
            <v>Débit PIF - INTER</v>
          </cell>
          <cell r="P231">
            <v>1900</v>
          </cell>
          <cell r="Q231">
            <v>2180</v>
          </cell>
          <cell r="R231">
            <v>2180</v>
          </cell>
          <cell r="S231">
            <v>2140</v>
          </cell>
          <cell r="T231">
            <v>2140</v>
          </cell>
          <cell r="U231">
            <v>2140</v>
          </cell>
          <cell r="V231">
            <v>2480</v>
          </cell>
          <cell r="W231">
            <v>2560</v>
          </cell>
          <cell r="X231">
            <v>2580</v>
          </cell>
          <cell r="Y231"/>
        </row>
        <row r="232">
          <cell r="A232"/>
          <cell r="Y232"/>
        </row>
        <row r="233">
          <cell r="A233"/>
          <cell r="O233" t="str">
            <v>Débit PIF - SCHENGEN</v>
          </cell>
          <cell r="P233">
            <v>840</v>
          </cell>
          <cell r="Q233">
            <v>840</v>
          </cell>
          <cell r="R233">
            <v>840</v>
          </cell>
          <cell r="S233">
            <v>910</v>
          </cell>
          <cell r="T233">
            <v>910</v>
          </cell>
          <cell r="U233">
            <v>910</v>
          </cell>
          <cell r="V233">
            <v>910</v>
          </cell>
          <cell r="W233">
            <v>910</v>
          </cell>
          <cell r="X233">
            <v>910</v>
          </cell>
          <cell r="Y233"/>
        </row>
        <row r="234">
          <cell r="A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</row>
        <row r="235">
          <cell r="A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</row>
        <row r="236">
          <cell r="A236"/>
          <cell r="O236" t="str">
            <v>Débit PIF - TOTAL</v>
          </cell>
          <cell r="P236">
            <v>2740</v>
          </cell>
          <cell r="Q236">
            <v>3020</v>
          </cell>
          <cell r="R236">
            <v>3020</v>
          </cell>
          <cell r="S236">
            <v>3050</v>
          </cell>
          <cell r="T236">
            <v>3050</v>
          </cell>
          <cell r="U236">
            <v>3050</v>
          </cell>
          <cell r="V236">
            <v>3390</v>
          </cell>
          <cell r="W236">
            <v>3470</v>
          </cell>
          <cell r="X236">
            <v>3490</v>
          </cell>
          <cell r="Y236"/>
        </row>
        <row r="237">
          <cell r="A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</row>
        <row r="238">
          <cell r="A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</row>
        <row r="239">
          <cell r="A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</row>
        <row r="240">
          <cell r="A240"/>
          <cell r="O240" t="str">
            <v>T1 - Surface PIF</v>
          </cell>
          <cell r="P240" t="str">
            <v>W22</v>
          </cell>
          <cell r="Q240" t="str">
            <v>S23</v>
          </cell>
          <cell r="R240" t="str">
            <v>W23</v>
          </cell>
          <cell r="S240" t="str">
            <v>S24</v>
          </cell>
          <cell r="T240" t="str">
            <v>W24</v>
          </cell>
          <cell r="U240" t="str">
            <v>S25</v>
          </cell>
          <cell r="V240" t="str">
            <v>W25</v>
          </cell>
          <cell r="W240" t="str">
            <v>S26</v>
          </cell>
          <cell r="X240" t="str">
            <v>W26</v>
          </cell>
        </row>
        <row r="241">
          <cell r="A241"/>
          <cell r="O241" t="str">
            <v>Jonction</v>
          </cell>
          <cell r="P241">
            <v>330</v>
          </cell>
          <cell r="Q241">
            <v>330</v>
          </cell>
          <cell r="R241">
            <v>330</v>
          </cell>
          <cell r="S241">
            <v>330</v>
          </cell>
          <cell r="T241">
            <v>330</v>
          </cell>
          <cell r="U241">
            <v>399</v>
          </cell>
          <cell r="V241">
            <v>399</v>
          </cell>
          <cell r="W241">
            <v>399</v>
          </cell>
          <cell r="X241">
            <v>399</v>
          </cell>
        </row>
        <row r="242">
          <cell r="A242"/>
          <cell r="O242" t="str">
            <v>SAT4</v>
          </cell>
          <cell r="P242">
            <v>80</v>
          </cell>
          <cell r="Q242">
            <v>80</v>
          </cell>
          <cell r="R242">
            <v>80</v>
          </cell>
          <cell r="S242">
            <v>80</v>
          </cell>
          <cell r="T242">
            <v>80</v>
          </cell>
          <cell r="U242">
            <v>80</v>
          </cell>
          <cell r="V242">
            <v>80</v>
          </cell>
          <cell r="W242">
            <v>80</v>
          </cell>
          <cell r="X242">
            <v>80</v>
          </cell>
        </row>
        <row r="243">
          <cell r="A243"/>
          <cell r="O243" t="str">
            <v>SAT5</v>
          </cell>
          <cell r="P243">
            <v>48</v>
          </cell>
          <cell r="Q243">
            <v>48</v>
          </cell>
          <cell r="R243">
            <v>48</v>
          </cell>
          <cell r="S243">
            <v>48</v>
          </cell>
          <cell r="T243">
            <v>48</v>
          </cell>
          <cell r="U243">
            <v>79</v>
          </cell>
          <cell r="V243">
            <v>79</v>
          </cell>
          <cell r="W243">
            <v>79</v>
          </cell>
          <cell r="X243">
            <v>79</v>
          </cell>
        </row>
        <row r="244">
          <cell r="A244"/>
          <cell r="O244" t="str">
            <v>SAT6</v>
          </cell>
          <cell r="P244">
            <v>98</v>
          </cell>
          <cell r="Q244">
            <v>98</v>
          </cell>
          <cell r="R244">
            <v>98</v>
          </cell>
          <cell r="S244">
            <v>98</v>
          </cell>
          <cell r="T244">
            <v>98</v>
          </cell>
          <cell r="U244">
            <v>98</v>
          </cell>
          <cell r="V244">
            <v>98</v>
          </cell>
          <cell r="W244">
            <v>98</v>
          </cell>
          <cell r="X244">
            <v>98</v>
          </cell>
        </row>
        <row r="245">
          <cell r="A245"/>
          <cell r="O245" t="str">
            <v>SURFACE GLOBAL</v>
          </cell>
          <cell r="P245">
            <v>556</v>
          </cell>
          <cell r="Q245">
            <v>556</v>
          </cell>
          <cell r="R245">
            <v>556</v>
          </cell>
          <cell r="S245">
            <v>556</v>
          </cell>
          <cell r="T245">
            <v>556</v>
          </cell>
          <cell r="U245">
            <v>656</v>
          </cell>
          <cell r="V245">
            <v>656</v>
          </cell>
          <cell r="W245">
            <v>656</v>
          </cell>
          <cell r="X245">
            <v>656</v>
          </cell>
        </row>
        <row r="246">
          <cell r="A246"/>
        </row>
        <row r="247">
          <cell r="A247"/>
          <cell r="O247" t="str">
            <v>Temps d'attente maximum (min)</v>
          </cell>
          <cell r="P247">
            <v>10</v>
          </cell>
          <cell r="Q247">
            <v>10</v>
          </cell>
          <cell r="R247">
            <v>10</v>
          </cell>
          <cell r="S247">
            <v>10</v>
          </cell>
          <cell r="T247">
            <v>10</v>
          </cell>
          <cell r="U247">
            <v>10</v>
          </cell>
          <cell r="V247">
            <v>10</v>
          </cell>
          <cell r="W247">
            <v>10</v>
          </cell>
          <cell r="X247">
            <v>10</v>
          </cell>
        </row>
        <row r="248">
          <cell r="A248"/>
          <cell r="O248" t="str">
            <v>Standard IATA C (m2/PAX)</v>
          </cell>
          <cell r="P248">
            <v>1</v>
          </cell>
          <cell r="Q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V248">
            <v>1</v>
          </cell>
          <cell r="W248">
            <v>1</v>
          </cell>
          <cell r="X248">
            <v>1</v>
          </cell>
        </row>
        <row r="249">
          <cell r="A249"/>
        </row>
        <row r="250">
          <cell r="A250"/>
          <cell r="O250" t="str">
            <v>Attente PIF - INTER</v>
          </cell>
          <cell r="P250">
            <v>1980</v>
          </cell>
          <cell r="Q250">
            <v>1980</v>
          </cell>
          <cell r="R250">
            <v>1980</v>
          </cell>
          <cell r="S250">
            <v>1980</v>
          </cell>
          <cell r="T250">
            <v>1980</v>
          </cell>
          <cell r="U250">
            <v>2394</v>
          </cell>
          <cell r="V250">
            <v>2394</v>
          </cell>
          <cell r="W250">
            <v>2394</v>
          </cell>
          <cell r="X250">
            <v>2394</v>
          </cell>
        </row>
        <row r="251">
          <cell r="A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/>
          <cell r="O252" t="str">
            <v>Attente PIF - SCHENGEN</v>
          </cell>
          <cell r="P252">
            <v>876</v>
          </cell>
          <cell r="Q252">
            <v>876</v>
          </cell>
          <cell r="R252">
            <v>876</v>
          </cell>
          <cell r="S252">
            <v>876</v>
          </cell>
          <cell r="T252">
            <v>876</v>
          </cell>
          <cell r="U252">
            <v>1062</v>
          </cell>
          <cell r="V252">
            <v>1062</v>
          </cell>
          <cell r="W252">
            <v>1062</v>
          </cell>
          <cell r="X252">
            <v>1062</v>
          </cell>
          <cell r="Y252"/>
        </row>
        <row r="253">
          <cell r="A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/>
          <cell r="O255" t="str">
            <v>Attente PIF - TOTAL</v>
          </cell>
          <cell r="P255">
            <v>2856</v>
          </cell>
          <cell r="Q255">
            <v>2856</v>
          </cell>
          <cell r="R255">
            <v>2856</v>
          </cell>
          <cell r="S255">
            <v>2856</v>
          </cell>
          <cell r="T255">
            <v>2856</v>
          </cell>
          <cell r="U255">
            <v>3456</v>
          </cell>
          <cell r="V255">
            <v>3456</v>
          </cell>
          <cell r="W255">
            <v>3456</v>
          </cell>
          <cell r="X255">
            <v>3456</v>
          </cell>
          <cell r="Y255"/>
        </row>
        <row r="256">
          <cell r="A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</row>
        <row r="259">
          <cell r="A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</row>
        <row r="260">
          <cell r="A260" t="str">
            <v>Embarquement</v>
          </cell>
        </row>
        <row r="261">
          <cell r="A261"/>
          <cell r="N261" t="str">
            <v>T1 - Circuits embarquements NET</v>
          </cell>
          <cell r="O261"/>
          <cell r="P261" t="str">
            <v>W22</v>
          </cell>
          <cell r="Q261" t="str">
            <v>S23</v>
          </cell>
          <cell r="R261" t="str">
            <v>W23</v>
          </cell>
          <cell r="S261" t="str">
            <v>S24</v>
          </cell>
          <cell r="T261" t="str">
            <v>W24</v>
          </cell>
          <cell r="U261" t="str">
            <v>S25</v>
          </cell>
          <cell r="V261" t="str">
            <v>W25</v>
          </cell>
          <cell r="W261" t="str">
            <v>S26</v>
          </cell>
          <cell r="X261" t="str">
            <v>W26</v>
          </cell>
        </row>
        <row r="262">
          <cell r="A262"/>
          <cell r="N262" t="str">
            <v>T1 - Jonction</v>
          </cell>
          <cell r="O262" t="str">
            <v>A/B</v>
          </cell>
          <cell r="P262"/>
          <cell r="Q262"/>
          <cell r="R262"/>
          <cell r="S262"/>
          <cell r="T262"/>
          <cell r="U262"/>
          <cell r="V262"/>
          <cell r="W262"/>
          <cell r="X262"/>
        </row>
        <row r="263">
          <cell r="A263"/>
          <cell r="N263"/>
          <cell r="O263" t="str">
            <v>C</v>
          </cell>
          <cell r="P263">
            <v>3</v>
          </cell>
          <cell r="Q263">
            <v>3</v>
          </cell>
          <cell r="R263">
            <v>3</v>
          </cell>
          <cell r="S263">
            <v>3</v>
          </cell>
          <cell r="T263">
            <v>3</v>
          </cell>
          <cell r="U263">
            <v>3</v>
          </cell>
          <cell r="V263">
            <v>3</v>
          </cell>
          <cell r="W263">
            <v>3</v>
          </cell>
          <cell r="X263"/>
        </row>
        <row r="264">
          <cell r="A264"/>
          <cell r="N264"/>
          <cell r="O264" t="str">
            <v>D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  <cell r="X264">
            <v>1</v>
          </cell>
        </row>
        <row r="265">
          <cell r="A265"/>
          <cell r="N265"/>
          <cell r="O265" t="str">
            <v>E</v>
          </cell>
          <cell r="P265">
            <v>7</v>
          </cell>
          <cell r="Q265">
            <v>7</v>
          </cell>
          <cell r="R265">
            <v>7</v>
          </cell>
          <cell r="S265">
            <v>7</v>
          </cell>
          <cell r="T265">
            <v>7</v>
          </cell>
          <cell r="U265">
            <v>7</v>
          </cell>
          <cell r="V265">
            <v>7</v>
          </cell>
          <cell r="W265">
            <v>5</v>
          </cell>
          <cell r="X265">
            <v>6</v>
          </cell>
        </row>
        <row r="266">
          <cell r="A266"/>
          <cell r="N266"/>
          <cell r="O266" t="str">
            <v>F</v>
          </cell>
          <cell r="P266">
            <v>4</v>
          </cell>
          <cell r="Q266">
            <v>4</v>
          </cell>
          <cell r="R266">
            <v>4</v>
          </cell>
          <cell r="S266">
            <v>4</v>
          </cell>
          <cell r="T266">
            <v>4</v>
          </cell>
          <cell r="U266">
            <v>4</v>
          </cell>
          <cell r="V266">
            <v>4</v>
          </cell>
          <cell r="W266">
            <v>4</v>
          </cell>
          <cell r="X266">
            <v>4</v>
          </cell>
        </row>
        <row r="267">
          <cell r="A267"/>
          <cell r="N267" t="str">
            <v>T1 - SAT4</v>
          </cell>
          <cell r="O267" t="str">
            <v>A/B</v>
          </cell>
          <cell r="P267"/>
          <cell r="Q267"/>
          <cell r="R267"/>
          <cell r="S267"/>
          <cell r="T267"/>
          <cell r="U267"/>
          <cell r="V267"/>
          <cell r="W267"/>
          <cell r="X267"/>
        </row>
        <row r="268">
          <cell r="A268"/>
          <cell r="N268"/>
          <cell r="O268" t="str">
            <v>C</v>
          </cell>
          <cell r="P268"/>
          <cell r="Q268"/>
          <cell r="R268"/>
          <cell r="S268"/>
          <cell r="T268"/>
          <cell r="U268"/>
          <cell r="V268"/>
          <cell r="W268"/>
          <cell r="X268"/>
        </row>
        <row r="269">
          <cell r="A269"/>
          <cell r="N269"/>
          <cell r="O269" t="str">
            <v>D</v>
          </cell>
          <cell r="P269"/>
          <cell r="Q269"/>
          <cell r="R269"/>
          <cell r="S269"/>
          <cell r="T269"/>
          <cell r="U269"/>
          <cell r="V269"/>
          <cell r="W269"/>
          <cell r="X269"/>
        </row>
        <row r="270">
          <cell r="A270"/>
          <cell r="N270"/>
          <cell r="O270" t="str">
            <v>E</v>
          </cell>
          <cell r="P270"/>
          <cell r="Q270"/>
          <cell r="R270"/>
          <cell r="S270"/>
          <cell r="T270"/>
          <cell r="U270"/>
          <cell r="V270"/>
          <cell r="W270"/>
          <cell r="X270"/>
        </row>
        <row r="271">
          <cell r="A271"/>
          <cell r="N271"/>
          <cell r="O271" t="str">
            <v>F</v>
          </cell>
          <cell r="P271"/>
          <cell r="Q271"/>
          <cell r="R271"/>
          <cell r="S271"/>
          <cell r="T271"/>
          <cell r="U271"/>
          <cell r="V271"/>
          <cell r="W271"/>
          <cell r="X271"/>
        </row>
        <row r="272">
          <cell r="A272"/>
          <cell r="N272" t="str">
            <v>T1 - Large INTER</v>
          </cell>
          <cell r="O272" t="str">
            <v>A/B</v>
          </cell>
          <cell r="P272"/>
          <cell r="Q272"/>
          <cell r="R272"/>
          <cell r="S272"/>
          <cell r="T272"/>
          <cell r="U272"/>
          <cell r="V272"/>
          <cell r="W272"/>
          <cell r="X272"/>
        </row>
        <row r="273">
          <cell r="A273"/>
          <cell r="N273"/>
          <cell r="O273" t="str">
            <v>C</v>
          </cell>
          <cell r="P273"/>
          <cell r="Q273"/>
          <cell r="R273"/>
          <cell r="S273"/>
          <cell r="T273"/>
          <cell r="U273"/>
          <cell r="V273"/>
          <cell r="W273"/>
          <cell r="X273"/>
        </row>
        <row r="274">
          <cell r="A274"/>
          <cell r="N274"/>
          <cell r="O274" t="str">
            <v>D</v>
          </cell>
          <cell r="P274"/>
          <cell r="Q274"/>
          <cell r="R274"/>
          <cell r="S274"/>
          <cell r="T274"/>
          <cell r="U274"/>
          <cell r="V274"/>
          <cell r="W274"/>
          <cell r="X274"/>
        </row>
        <row r="275">
          <cell r="A275"/>
          <cell r="N275"/>
          <cell r="O275" t="str">
            <v>E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  <cell r="X275">
            <v>1</v>
          </cell>
        </row>
        <row r="276">
          <cell r="A276"/>
          <cell r="N276"/>
          <cell r="O276" t="str">
            <v>F</v>
          </cell>
          <cell r="P276"/>
          <cell r="Q276"/>
          <cell r="R276"/>
          <cell r="S276"/>
          <cell r="T276"/>
          <cell r="U276"/>
          <cell r="V276"/>
          <cell r="W276"/>
          <cell r="X276"/>
        </row>
        <row r="277">
          <cell r="A277"/>
          <cell r="N277" t="str">
            <v>T1 Total INTER</v>
          </cell>
          <cell r="O277"/>
          <cell r="P277">
            <v>16</v>
          </cell>
          <cell r="Q277">
            <v>16</v>
          </cell>
          <cell r="R277">
            <v>16</v>
          </cell>
          <cell r="S277">
            <v>16</v>
          </cell>
          <cell r="T277">
            <v>16</v>
          </cell>
          <cell r="U277">
            <v>16</v>
          </cell>
          <cell r="V277">
            <v>16</v>
          </cell>
          <cell r="W277">
            <v>14</v>
          </cell>
          <cell r="X277">
            <v>12</v>
          </cell>
        </row>
        <row r="278">
          <cell r="A278"/>
          <cell r="O278"/>
        </row>
        <row r="279">
          <cell r="A279"/>
          <cell r="N279" t="str">
            <v>T1 - SAT5</v>
          </cell>
          <cell r="O279" t="str">
            <v>A/B</v>
          </cell>
          <cell r="P279"/>
          <cell r="Q279"/>
          <cell r="R279"/>
          <cell r="S279"/>
          <cell r="T279"/>
          <cell r="U279"/>
          <cell r="V279"/>
          <cell r="W279"/>
          <cell r="X279"/>
        </row>
        <row r="280">
          <cell r="A280"/>
          <cell r="N280"/>
          <cell r="O280" t="str">
            <v>C</v>
          </cell>
          <cell r="P280">
            <v>5</v>
          </cell>
          <cell r="Q280">
            <v>5</v>
          </cell>
          <cell r="R280">
            <v>5</v>
          </cell>
          <cell r="S280">
            <v>5</v>
          </cell>
          <cell r="T280">
            <v>4</v>
          </cell>
          <cell r="U280">
            <v>4</v>
          </cell>
          <cell r="V280">
            <v>4</v>
          </cell>
          <cell r="W280">
            <v>4</v>
          </cell>
          <cell r="X280">
            <v>4</v>
          </cell>
        </row>
        <row r="281">
          <cell r="A281"/>
          <cell r="N281"/>
          <cell r="O281" t="str">
            <v>D</v>
          </cell>
          <cell r="P281">
            <v>1</v>
          </cell>
          <cell r="Q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V281">
            <v>1</v>
          </cell>
          <cell r="W281">
            <v>1</v>
          </cell>
          <cell r="X281">
            <v>1</v>
          </cell>
        </row>
        <row r="282">
          <cell r="A282"/>
          <cell r="N282"/>
          <cell r="O282" t="str">
            <v>E</v>
          </cell>
          <cell r="P282"/>
          <cell r="Q282"/>
          <cell r="R282"/>
          <cell r="S282"/>
          <cell r="T282"/>
          <cell r="U282"/>
          <cell r="V282"/>
          <cell r="W282"/>
          <cell r="X282"/>
        </row>
        <row r="283">
          <cell r="A283"/>
          <cell r="N283"/>
          <cell r="O283" t="str">
            <v>F</v>
          </cell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N284" t="str">
            <v>T1 - SAT6</v>
          </cell>
          <cell r="O284" t="str">
            <v>A/B</v>
          </cell>
          <cell r="P284"/>
          <cell r="Q284"/>
          <cell r="R284"/>
          <cell r="S284"/>
          <cell r="T284"/>
          <cell r="U284"/>
          <cell r="V284"/>
          <cell r="W284"/>
          <cell r="X284"/>
        </row>
        <row r="285">
          <cell r="A285"/>
          <cell r="N285"/>
          <cell r="O285" t="str">
            <v>C</v>
          </cell>
          <cell r="P285">
            <v>5</v>
          </cell>
          <cell r="Q285">
            <v>5</v>
          </cell>
          <cell r="R285">
            <v>5</v>
          </cell>
          <cell r="S285">
            <v>5</v>
          </cell>
          <cell r="T285">
            <v>5</v>
          </cell>
          <cell r="U285">
            <v>5</v>
          </cell>
          <cell r="V285">
            <v>5</v>
          </cell>
          <cell r="W285">
            <v>5</v>
          </cell>
          <cell r="X285">
            <v>4</v>
          </cell>
        </row>
        <row r="286">
          <cell r="A286"/>
          <cell r="N286"/>
          <cell r="O286" t="str">
            <v>D</v>
          </cell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N287"/>
          <cell r="O287" t="str">
            <v>E</v>
          </cell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N288"/>
          <cell r="O288" t="str">
            <v>F</v>
          </cell>
          <cell r="P288"/>
          <cell r="Q288"/>
          <cell r="R288"/>
          <cell r="S288"/>
          <cell r="T288"/>
          <cell r="U288"/>
          <cell r="V288"/>
          <cell r="W288"/>
          <cell r="X288"/>
        </row>
        <row r="289">
          <cell r="A289"/>
          <cell r="N289" t="str">
            <v>T1 - Large SCH</v>
          </cell>
          <cell r="O289" t="str">
            <v>A/B</v>
          </cell>
          <cell r="P289"/>
          <cell r="Q289"/>
          <cell r="R289"/>
          <cell r="S289"/>
          <cell r="T289"/>
          <cell r="U289"/>
          <cell r="V289"/>
          <cell r="W289"/>
          <cell r="X289"/>
        </row>
        <row r="290">
          <cell r="A290"/>
          <cell r="N290"/>
          <cell r="O290" t="str">
            <v>C</v>
          </cell>
          <cell r="P290">
            <v>2</v>
          </cell>
          <cell r="Q290">
            <v>2</v>
          </cell>
          <cell r="R290">
            <v>2</v>
          </cell>
          <cell r="S290">
            <v>2</v>
          </cell>
          <cell r="T290">
            <v>3</v>
          </cell>
          <cell r="U290">
            <v>3</v>
          </cell>
          <cell r="V290">
            <v>3</v>
          </cell>
          <cell r="W290">
            <v>3</v>
          </cell>
          <cell r="X290">
            <v>2</v>
          </cell>
        </row>
        <row r="291">
          <cell r="A291"/>
          <cell r="N291"/>
          <cell r="O291" t="str">
            <v>D</v>
          </cell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N292"/>
          <cell r="O292" t="str">
            <v>E</v>
          </cell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N293"/>
          <cell r="O293" t="str">
            <v>F</v>
          </cell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N294" t="str">
            <v>T1 Total SCHENGEN</v>
          </cell>
          <cell r="O294"/>
          <cell r="P294">
            <v>13</v>
          </cell>
          <cell r="Q294">
            <v>13</v>
          </cell>
          <cell r="R294">
            <v>13</v>
          </cell>
          <cell r="S294">
            <v>13</v>
          </cell>
          <cell r="T294">
            <v>13</v>
          </cell>
          <cell r="U294">
            <v>13</v>
          </cell>
          <cell r="V294">
            <v>13</v>
          </cell>
          <cell r="W294">
            <v>13</v>
          </cell>
          <cell r="X294">
            <v>11</v>
          </cell>
        </row>
        <row r="295">
          <cell r="A295"/>
          <cell r="O295"/>
        </row>
        <row r="296">
          <cell r="A296"/>
          <cell r="O296"/>
        </row>
        <row r="297">
          <cell r="A297"/>
          <cell r="K297" t="str">
            <v>Offre siège porteur</v>
          </cell>
          <cell r="L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K298" t="str">
            <v>A/B</v>
          </cell>
          <cell r="L298">
            <v>80</v>
          </cell>
          <cell r="O298" t="str">
            <v>Débit EMB - INTER</v>
          </cell>
          <cell r="P298">
            <v>4547.5</v>
          </cell>
          <cell r="Q298">
            <v>4547.5</v>
          </cell>
          <cell r="R298">
            <v>4547.5</v>
          </cell>
          <cell r="S298">
            <v>4547.5</v>
          </cell>
          <cell r="T298">
            <v>4547.5</v>
          </cell>
          <cell r="U298">
            <v>4547.5</v>
          </cell>
          <cell r="V298">
            <v>4547.5</v>
          </cell>
          <cell r="W298">
            <v>4003.5</v>
          </cell>
          <cell r="X298">
            <v>3816.5</v>
          </cell>
        </row>
        <row r="299">
          <cell r="A299"/>
          <cell r="K299" t="str">
            <v>C</v>
          </cell>
          <cell r="L299">
            <v>180</v>
          </cell>
          <cell r="O299"/>
        </row>
        <row r="300">
          <cell r="A300"/>
          <cell r="K300" t="str">
            <v>D</v>
          </cell>
          <cell r="L300">
            <v>250</v>
          </cell>
          <cell r="O300" t="str">
            <v>Débit EMB - SCHENGEN</v>
          </cell>
          <cell r="P300">
            <v>2048.5</v>
          </cell>
          <cell r="Q300">
            <v>2048.5</v>
          </cell>
          <cell r="R300">
            <v>2048.5</v>
          </cell>
          <cell r="S300">
            <v>2048.5</v>
          </cell>
          <cell r="T300">
            <v>2048.5</v>
          </cell>
          <cell r="U300">
            <v>2048.5</v>
          </cell>
          <cell r="V300">
            <v>2048.5</v>
          </cell>
          <cell r="W300">
            <v>2048.5</v>
          </cell>
          <cell r="X300">
            <v>1742.5</v>
          </cell>
        </row>
        <row r="301">
          <cell r="A301"/>
          <cell r="K301" t="str">
            <v>E</v>
          </cell>
          <cell r="L301">
            <v>320</v>
          </cell>
          <cell r="O301"/>
        </row>
        <row r="302">
          <cell r="A302"/>
          <cell r="K302" t="str">
            <v>F</v>
          </cell>
          <cell r="L302">
            <v>500</v>
          </cell>
          <cell r="O302"/>
        </row>
        <row r="303">
          <cell r="A303"/>
          <cell r="O303" t="str">
            <v>Débit EMB - TOTAL</v>
          </cell>
          <cell r="P303">
            <v>6596</v>
          </cell>
          <cell r="Q303">
            <v>6596</v>
          </cell>
          <cell r="R303">
            <v>6596</v>
          </cell>
          <cell r="S303">
            <v>6596</v>
          </cell>
          <cell r="T303">
            <v>6596</v>
          </cell>
          <cell r="U303">
            <v>6596</v>
          </cell>
          <cell r="V303">
            <v>6596</v>
          </cell>
          <cell r="W303">
            <v>6052</v>
          </cell>
          <cell r="X303">
            <v>5559</v>
          </cell>
        </row>
        <row r="304">
          <cell r="A304"/>
          <cell r="K304" t="str">
            <v>Taux de remplissage</v>
          </cell>
          <cell r="L304"/>
          <cell r="O304"/>
        </row>
        <row r="305">
          <cell r="A305"/>
          <cell r="K305">
            <v>0.85</v>
          </cell>
          <cell r="L305"/>
          <cell r="M305"/>
          <cell r="O305"/>
        </row>
        <row r="306">
          <cell r="A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</row>
        <row r="307">
          <cell r="A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</row>
        <row r="308">
          <cell r="A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</row>
        <row r="309">
          <cell r="A309"/>
        </row>
        <row r="310">
          <cell r="A310"/>
          <cell r="O310" t="str">
            <v>T1 - Embarquement Jonction</v>
          </cell>
          <cell r="P310" t="str">
            <v>W22</v>
          </cell>
          <cell r="Q310" t="str">
            <v>S23</v>
          </cell>
          <cell r="R310" t="str">
            <v>W23</v>
          </cell>
          <cell r="S310" t="str">
            <v>S24</v>
          </cell>
          <cell r="T310" t="str">
            <v>W24</v>
          </cell>
          <cell r="U310" t="str">
            <v>S25</v>
          </cell>
          <cell r="V310" t="str">
            <v>W25</v>
          </cell>
          <cell r="W310" t="str">
            <v>S26</v>
          </cell>
          <cell r="X310" t="str">
            <v>W26</v>
          </cell>
        </row>
        <row r="311">
          <cell r="A311"/>
          <cell r="R311"/>
          <cell r="S311"/>
          <cell r="T311"/>
          <cell r="U311"/>
          <cell r="V311"/>
        </row>
        <row r="312">
          <cell r="A312"/>
          <cell r="O312" t="str">
            <v>Surface d'attente utile (m2)</v>
          </cell>
          <cell r="P312">
            <v>6473</v>
          </cell>
          <cell r="Q312">
            <v>6473</v>
          </cell>
          <cell r="R312">
            <v>6473</v>
          </cell>
          <cell r="S312">
            <v>6473</v>
          </cell>
          <cell r="T312">
            <v>6473</v>
          </cell>
          <cell r="U312">
            <v>6473</v>
          </cell>
          <cell r="V312">
            <v>6473</v>
          </cell>
          <cell r="W312">
            <v>6473</v>
          </cell>
          <cell r="X312">
            <v>6473</v>
          </cell>
        </row>
        <row r="313">
          <cell r="A313"/>
          <cell r="O313" t="str">
            <v>Temps moyen d'occupation (min)</v>
          </cell>
          <cell r="P313">
            <v>80</v>
          </cell>
          <cell r="Q313">
            <v>80</v>
          </cell>
          <cell r="R313">
            <v>80</v>
          </cell>
          <cell r="S313">
            <v>80</v>
          </cell>
          <cell r="T313">
            <v>80</v>
          </cell>
          <cell r="U313">
            <v>80</v>
          </cell>
          <cell r="V313">
            <v>80</v>
          </cell>
          <cell r="W313">
            <v>80</v>
          </cell>
          <cell r="X313">
            <v>80</v>
          </cell>
        </row>
        <row r="314">
          <cell r="A314"/>
          <cell r="O314" t="str">
            <v>Standard IATA (m2/PAX)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</row>
        <row r="315">
          <cell r="A315"/>
          <cell r="O315" t="str">
            <v>Taux d'occupation MAX IATA</v>
          </cell>
          <cell r="P315">
            <v>0.65</v>
          </cell>
          <cell r="Q315">
            <v>0.65</v>
          </cell>
          <cell r="R315">
            <v>0.65</v>
          </cell>
          <cell r="S315">
            <v>0.65</v>
          </cell>
          <cell r="T315">
            <v>0.65</v>
          </cell>
          <cell r="U315">
            <v>0.65</v>
          </cell>
          <cell r="V315">
            <v>0.65</v>
          </cell>
          <cell r="W315">
            <v>0.65</v>
          </cell>
          <cell r="X315">
            <v>0.65</v>
          </cell>
        </row>
        <row r="316">
          <cell r="A316"/>
        </row>
        <row r="317">
          <cell r="A317"/>
          <cell r="O317" t="str">
            <v>Attente EMB Jonction</v>
          </cell>
          <cell r="P317">
            <v>3155.5875000000001</v>
          </cell>
          <cell r="Q317">
            <v>3155.5875000000001</v>
          </cell>
          <cell r="R317">
            <v>3155.5875000000001</v>
          </cell>
          <cell r="S317">
            <v>3155.5875000000001</v>
          </cell>
          <cell r="T317">
            <v>3155.5875000000001</v>
          </cell>
          <cell r="U317">
            <v>3155.5875000000001</v>
          </cell>
          <cell r="V317">
            <v>3155.5875000000001</v>
          </cell>
          <cell r="W317">
            <v>3155.5875000000001</v>
          </cell>
          <cell r="X317">
            <v>3155.5875000000001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  <cell r="O321" t="str">
            <v>T1 - Embarquement SAT7</v>
          </cell>
          <cell r="P321" t="str">
            <v>W22</v>
          </cell>
          <cell r="Q321" t="str">
            <v>S23</v>
          </cell>
          <cell r="R321" t="str">
            <v>W23</v>
          </cell>
          <cell r="S321" t="str">
            <v>S24</v>
          </cell>
          <cell r="T321" t="str">
            <v>W24</v>
          </cell>
          <cell r="U321" t="str">
            <v>S25</v>
          </cell>
          <cell r="V321" t="str">
            <v>W25</v>
          </cell>
          <cell r="W321" t="str">
            <v>S26</v>
          </cell>
          <cell r="X321" t="str">
            <v>W26</v>
          </cell>
        </row>
        <row r="322">
          <cell r="A322"/>
          <cell r="R322"/>
          <cell r="S322"/>
          <cell r="T322"/>
          <cell r="U322"/>
          <cell r="V322"/>
        </row>
        <row r="323">
          <cell r="A323"/>
          <cell r="O323" t="str">
            <v>Surface d'attente utile (m2)</v>
          </cell>
          <cell r="P323">
            <v>1167</v>
          </cell>
          <cell r="Q323">
            <v>1167</v>
          </cell>
          <cell r="R323">
            <v>1167</v>
          </cell>
          <cell r="S323">
            <v>1167</v>
          </cell>
          <cell r="T323">
            <v>1167</v>
          </cell>
          <cell r="U323">
            <v>1167</v>
          </cell>
          <cell r="V323">
            <v>1167</v>
          </cell>
          <cell r="W323">
            <v>1167</v>
          </cell>
          <cell r="X323">
            <v>1167</v>
          </cell>
        </row>
        <row r="324">
          <cell r="A324"/>
          <cell r="O324" t="str">
            <v>Temps moyen d'occupation (min)</v>
          </cell>
          <cell r="P324">
            <v>80</v>
          </cell>
          <cell r="Q324">
            <v>80</v>
          </cell>
          <cell r="R324">
            <v>80</v>
          </cell>
          <cell r="S324">
            <v>80</v>
          </cell>
          <cell r="T324">
            <v>80</v>
          </cell>
          <cell r="U324">
            <v>80</v>
          </cell>
          <cell r="V324">
            <v>80</v>
          </cell>
          <cell r="W324">
            <v>80</v>
          </cell>
          <cell r="X324">
            <v>80</v>
          </cell>
        </row>
        <row r="325">
          <cell r="A325"/>
          <cell r="O325" t="str">
            <v>Standard IATA (m2/PAX)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</row>
        <row r="326">
          <cell r="A326"/>
          <cell r="O326" t="str">
            <v>Taux d'occupation MAX IATA</v>
          </cell>
          <cell r="P326">
            <v>0.65</v>
          </cell>
          <cell r="Q326">
            <v>0.65</v>
          </cell>
          <cell r="R326">
            <v>0.65</v>
          </cell>
          <cell r="S326">
            <v>0.65</v>
          </cell>
          <cell r="T326">
            <v>0.65</v>
          </cell>
          <cell r="U326">
            <v>0.65</v>
          </cell>
          <cell r="V326">
            <v>0.65</v>
          </cell>
          <cell r="W326">
            <v>0.65</v>
          </cell>
          <cell r="X326">
            <v>0.65</v>
          </cell>
        </row>
        <row r="327">
          <cell r="A327"/>
        </row>
        <row r="328">
          <cell r="A328"/>
          <cell r="O328" t="str">
            <v>Attente EMB SAT7</v>
          </cell>
          <cell r="P328">
            <v>568.91250000000002</v>
          </cell>
          <cell r="Q328">
            <v>568.91250000000002</v>
          </cell>
          <cell r="R328">
            <v>568.91250000000002</v>
          </cell>
          <cell r="S328">
            <v>568.91250000000002</v>
          </cell>
          <cell r="T328">
            <v>568.91250000000002</v>
          </cell>
          <cell r="U328">
            <v>568.91250000000002</v>
          </cell>
          <cell r="V328">
            <v>568.91250000000002</v>
          </cell>
          <cell r="W328">
            <v>568.91250000000002</v>
          </cell>
          <cell r="X328">
            <v>568.91250000000002</v>
          </cell>
        </row>
        <row r="329">
          <cell r="A329"/>
        </row>
        <row r="330">
          <cell r="A330"/>
        </row>
        <row r="331">
          <cell r="A331"/>
        </row>
        <row r="332">
          <cell r="A332"/>
          <cell r="O332" t="str">
            <v>T1 - Embarquement SAT4</v>
          </cell>
          <cell r="P332" t="str">
            <v>W22</v>
          </cell>
          <cell r="Q332" t="str">
            <v>S23</v>
          </cell>
          <cell r="R332" t="str">
            <v>W23</v>
          </cell>
          <cell r="S332" t="str">
            <v>S24</v>
          </cell>
          <cell r="T332" t="str">
            <v>W24</v>
          </cell>
          <cell r="U332" t="str">
            <v>S25</v>
          </cell>
          <cell r="V332" t="str">
            <v>W25</v>
          </cell>
          <cell r="W332" t="str">
            <v>S26</v>
          </cell>
          <cell r="X332" t="str">
            <v>W26</v>
          </cell>
        </row>
        <row r="333">
          <cell r="A333"/>
          <cell r="R333"/>
          <cell r="S333"/>
          <cell r="T333"/>
          <cell r="U333"/>
          <cell r="V333"/>
        </row>
        <row r="334">
          <cell r="A334"/>
          <cell r="O334" t="str">
            <v>Surface d'attente utile (m2)</v>
          </cell>
          <cell r="P334">
            <v>780</v>
          </cell>
          <cell r="Q334">
            <v>780</v>
          </cell>
          <cell r="R334">
            <v>780</v>
          </cell>
          <cell r="S334">
            <v>780</v>
          </cell>
          <cell r="T334">
            <v>780</v>
          </cell>
          <cell r="U334">
            <v>780</v>
          </cell>
          <cell r="V334">
            <v>780</v>
          </cell>
          <cell r="W334">
            <v>780</v>
          </cell>
          <cell r="X334">
            <v>780</v>
          </cell>
        </row>
        <row r="335">
          <cell r="A335"/>
          <cell r="O335" t="str">
            <v>Temps moyen d'occupation (min)</v>
          </cell>
          <cell r="P335">
            <v>80</v>
          </cell>
          <cell r="Q335">
            <v>80</v>
          </cell>
          <cell r="R335">
            <v>80</v>
          </cell>
          <cell r="S335">
            <v>80</v>
          </cell>
          <cell r="T335">
            <v>80</v>
          </cell>
          <cell r="U335">
            <v>80</v>
          </cell>
          <cell r="V335">
            <v>80</v>
          </cell>
          <cell r="W335">
            <v>80</v>
          </cell>
          <cell r="X335">
            <v>80</v>
          </cell>
        </row>
        <row r="336">
          <cell r="A336"/>
          <cell r="O336" t="str">
            <v>Standard IATA (m2/PAX)</v>
          </cell>
          <cell r="P336">
            <v>1</v>
          </cell>
          <cell r="Q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V336">
            <v>1</v>
          </cell>
          <cell r="W336">
            <v>1</v>
          </cell>
          <cell r="X336">
            <v>1</v>
          </cell>
        </row>
        <row r="337">
          <cell r="A337"/>
          <cell r="O337" t="str">
            <v>Taux d'occupation MAX IATA</v>
          </cell>
          <cell r="P337">
            <v>0.65</v>
          </cell>
          <cell r="Q337">
            <v>0.65</v>
          </cell>
          <cell r="R337">
            <v>0.65</v>
          </cell>
          <cell r="S337">
            <v>0.65</v>
          </cell>
          <cell r="T337">
            <v>0.65</v>
          </cell>
          <cell r="U337">
            <v>0.65</v>
          </cell>
          <cell r="V337">
            <v>0.65</v>
          </cell>
          <cell r="W337">
            <v>0.65</v>
          </cell>
          <cell r="X337">
            <v>0.65</v>
          </cell>
        </row>
        <row r="338">
          <cell r="A338"/>
        </row>
        <row r="339">
          <cell r="A339"/>
          <cell r="O339" t="str">
            <v>Attente EMB SAT4</v>
          </cell>
          <cell r="P339">
            <v>380.25</v>
          </cell>
          <cell r="Q339">
            <v>380.25</v>
          </cell>
          <cell r="R339">
            <v>380.25</v>
          </cell>
          <cell r="S339">
            <v>380.25</v>
          </cell>
          <cell r="T339">
            <v>380.25</v>
          </cell>
          <cell r="U339">
            <v>380.25</v>
          </cell>
          <cell r="V339">
            <v>380.25</v>
          </cell>
          <cell r="W339">
            <v>380.25</v>
          </cell>
          <cell r="X339">
            <v>380.25</v>
          </cell>
        </row>
        <row r="340">
          <cell r="A340"/>
        </row>
        <row r="341">
          <cell r="A341"/>
        </row>
        <row r="342">
          <cell r="A342"/>
        </row>
        <row r="343">
          <cell r="A343"/>
          <cell r="O343" t="str">
            <v>T1 - Embarquement SAT5</v>
          </cell>
          <cell r="P343" t="str">
            <v>W22</v>
          </cell>
          <cell r="Q343" t="str">
            <v>S23</v>
          </cell>
          <cell r="R343" t="str">
            <v>W23</v>
          </cell>
          <cell r="S343" t="str">
            <v>S24</v>
          </cell>
          <cell r="T343" t="str">
            <v>W24</v>
          </cell>
          <cell r="U343" t="str">
            <v>S25</v>
          </cell>
          <cell r="V343" t="str">
            <v>W25</v>
          </cell>
          <cell r="W343" t="str">
            <v>S26</v>
          </cell>
          <cell r="X343" t="str">
            <v>W26</v>
          </cell>
        </row>
        <row r="344">
          <cell r="A344"/>
          <cell r="R344"/>
          <cell r="S344"/>
          <cell r="T344"/>
          <cell r="U344"/>
          <cell r="V344"/>
        </row>
        <row r="345">
          <cell r="A345"/>
          <cell r="O345" t="str">
            <v>Surface d'attente utile (m2)</v>
          </cell>
          <cell r="P345">
            <v>880</v>
          </cell>
          <cell r="Q345">
            <v>880</v>
          </cell>
          <cell r="R345">
            <v>880</v>
          </cell>
          <cell r="S345">
            <v>880</v>
          </cell>
          <cell r="T345">
            <v>880</v>
          </cell>
          <cell r="U345">
            <v>880</v>
          </cell>
          <cell r="V345">
            <v>880</v>
          </cell>
          <cell r="W345">
            <v>880</v>
          </cell>
          <cell r="X345">
            <v>880</v>
          </cell>
        </row>
        <row r="346">
          <cell r="A346"/>
          <cell r="O346" t="str">
            <v>Temps moyen d'occupation (min)</v>
          </cell>
          <cell r="P346">
            <v>75</v>
          </cell>
          <cell r="Q346">
            <v>75</v>
          </cell>
          <cell r="R346">
            <v>75</v>
          </cell>
          <cell r="S346">
            <v>75</v>
          </cell>
          <cell r="T346">
            <v>75</v>
          </cell>
          <cell r="U346">
            <v>75</v>
          </cell>
          <cell r="V346">
            <v>75</v>
          </cell>
          <cell r="W346">
            <v>75</v>
          </cell>
          <cell r="X346">
            <v>75</v>
          </cell>
        </row>
        <row r="347">
          <cell r="A347"/>
          <cell r="O347" t="str">
            <v>Standard IATA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</row>
        <row r="348">
          <cell r="A348"/>
          <cell r="O348" t="str">
            <v>Taux d'occupation MAX IATA</v>
          </cell>
          <cell r="P348">
            <v>0.65</v>
          </cell>
          <cell r="Q348">
            <v>0.65</v>
          </cell>
          <cell r="R348">
            <v>0.65</v>
          </cell>
          <cell r="S348">
            <v>0.65</v>
          </cell>
          <cell r="T348">
            <v>0.65</v>
          </cell>
          <cell r="U348">
            <v>0.65</v>
          </cell>
          <cell r="V348">
            <v>0.65</v>
          </cell>
          <cell r="W348">
            <v>0.65</v>
          </cell>
          <cell r="X348">
            <v>0.65</v>
          </cell>
        </row>
        <row r="349">
          <cell r="A349"/>
        </row>
        <row r="350">
          <cell r="A350"/>
          <cell r="O350" t="str">
            <v>Attente EMB SAT4</v>
          </cell>
          <cell r="P350">
            <v>457.6</v>
          </cell>
          <cell r="Q350">
            <v>457.6</v>
          </cell>
          <cell r="R350">
            <v>457.6</v>
          </cell>
          <cell r="S350">
            <v>457.6</v>
          </cell>
          <cell r="T350">
            <v>457.6</v>
          </cell>
          <cell r="U350">
            <v>457.6</v>
          </cell>
          <cell r="V350">
            <v>457.6</v>
          </cell>
          <cell r="W350">
            <v>457.6</v>
          </cell>
          <cell r="X350">
            <v>457.6</v>
          </cell>
        </row>
        <row r="351">
          <cell r="A351"/>
        </row>
        <row r="352">
          <cell r="A352"/>
        </row>
        <row r="353">
          <cell r="A353"/>
        </row>
        <row r="354">
          <cell r="A354"/>
          <cell r="O354" t="str">
            <v>T1 - Embarquement SAT6</v>
          </cell>
          <cell r="P354" t="str">
            <v>W22</v>
          </cell>
          <cell r="Q354" t="str">
            <v>S23</v>
          </cell>
          <cell r="R354" t="str">
            <v>W23</v>
          </cell>
          <cell r="S354" t="str">
            <v>S24</v>
          </cell>
          <cell r="T354" t="str">
            <v>W24</v>
          </cell>
          <cell r="U354" t="str">
            <v>S25</v>
          </cell>
          <cell r="V354" t="str">
            <v>W25</v>
          </cell>
          <cell r="W354" t="str">
            <v>S26</v>
          </cell>
          <cell r="X354" t="str">
            <v>W26</v>
          </cell>
        </row>
        <row r="355">
          <cell r="A355"/>
          <cell r="R355"/>
          <cell r="S355"/>
          <cell r="T355"/>
          <cell r="U355"/>
          <cell r="V355"/>
        </row>
        <row r="356">
          <cell r="A356"/>
          <cell r="O356" t="str">
            <v>Surface d'attente utile (m2)</v>
          </cell>
          <cell r="P356">
            <v>728</v>
          </cell>
          <cell r="Q356">
            <v>728</v>
          </cell>
          <cell r="R356">
            <v>728</v>
          </cell>
          <cell r="S356">
            <v>728</v>
          </cell>
          <cell r="T356">
            <v>728</v>
          </cell>
          <cell r="U356">
            <v>728</v>
          </cell>
          <cell r="V356">
            <v>728</v>
          </cell>
          <cell r="W356">
            <v>728</v>
          </cell>
          <cell r="X356">
            <v>728</v>
          </cell>
        </row>
        <row r="357">
          <cell r="A357"/>
          <cell r="O357" t="str">
            <v>Temps moyen d'occupation (min)</v>
          </cell>
          <cell r="P357">
            <v>75</v>
          </cell>
          <cell r="Q357">
            <v>75</v>
          </cell>
          <cell r="R357">
            <v>75</v>
          </cell>
          <cell r="S357">
            <v>75</v>
          </cell>
          <cell r="T357">
            <v>75</v>
          </cell>
          <cell r="U357">
            <v>75</v>
          </cell>
          <cell r="V357">
            <v>75</v>
          </cell>
          <cell r="W357">
            <v>75</v>
          </cell>
          <cell r="X357">
            <v>75</v>
          </cell>
        </row>
        <row r="358">
          <cell r="A358"/>
          <cell r="O358" t="str">
            <v>Standard IATA (m2/PAX)</v>
          </cell>
          <cell r="P358">
            <v>1</v>
          </cell>
          <cell r="Q358">
            <v>1</v>
          </cell>
          <cell r="R358">
            <v>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</row>
        <row r="359">
          <cell r="A359"/>
          <cell r="O359" t="str">
            <v>Taux d'occupation MAX IATA</v>
          </cell>
          <cell r="P359">
            <v>0.65</v>
          </cell>
          <cell r="Q359">
            <v>0.65</v>
          </cell>
          <cell r="R359">
            <v>0.65</v>
          </cell>
          <cell r="S359">
            <v>0.65</v>
          </cell>
          <cell r="T359">
            <v>0.65</v>
          </cell>
          <cell r="U359">
            <v>0.65</v>
          </cell>
          <cell r="V359">
            <v>0.65</v>
          </cell>
          <cell r="W359">
            <v>0.65</v>
          </cell>
          <cell r="X359">
            <v>0.65</v>
          </cell>
        </row>
        <row r="360">
          <cell r="A360"/>
        </row>
        <row r="361">
          <cell r="A361"/>
          <cell r="O361" t="str">
            <v>Attente EMB SAT6</v>
          </cell>
          <cell r="P361">
            <v>378.56</v>
          </cell>
          <cell r="Q361">
            <v>378.56</v>
          </cell>
          <cell r="R361">
            <v>378.56</v>
          </cell>
          <cell r="S361">
            <v>378.56</v>
          </cell>
          <cell r="T361">
            <v>378.56</v>
          </cell>
          <cell r="U361">
            <v>378.56</v>
          </cell>
          <cell r="V361">
            <v>378.56</v>
          </cell>
          <cell r="W361">
            <v>378.56</v>
          </cell>
          <cell r="X361">
            <v>378.56</v>
          </cell>
        </row>
        <row r="362">
          <cell r="A362"/>
        </row>
        <row r="363">
          <cell r="A363"/>
        </row>
        <row r="364">
          <cell r="A364"/>
          <cell r="O364" t="str">
            <v>Attente EMB - INTER</v>
          </cell>
          <cell r="P364">
            <v>3155.5875000000001</v>
          </cell>
          <cell r="Q364">
            <v>3155.5875000000001</v>
          </cell>
          <cell r="R364">
            <v>3155.5875000000001</v>
          </cell>
          <cell r="S364">
            <v>3155.5875000000001</v>
          </cell>
          <cell r="T364">
            <v>3155.5875000000001</v>
          </cell>
          <cell r="U364">
            <v>3155.5875000000001</v>
          </cell>
          <cell r="V364">
            <v>3155.5875000000001</v>
          </cell>
          <cell r="W364">
            <v>3155.5875000000001</v>
          </cell>
          <cell r="X364">
            <v>3155.5875000000001</v>
          </cell>
        </row>
        <row r="365">
          <cell r="A365"/>
          <cell r="P365"/>
          <cell r="Q365"/>
          <cell r="R365"/>
          <cell r="S365"/>
          <cell r="T365"/>
          <cell r="U365"/>
          <cell r="V365"/>
          <cell r="W365"/>
          <cell r="X365"/>
        </row>
        <row r="366">
          <cell r="A366"/>
          <cell r="O366" t="str">
            <v>Attente EMB - SCHENGEN</v>
          </cell>
          <cell r="P366">
            <v>836.16000000000008</v>
          </cell>
          <cell r="Q366">
            <v>836.16000000000008</v>
          </cell>
          <cell r="R366">
            <v>836.16000000000008</v>
          </cell>
          <cell r="S366">
            <v>836.16000000000008</v>
          </cell>
          <cell r="T366">
            <v>836.16000000000008</v>
          </cell>
          <cell r="U366">
            <v>836.16000000000008</v>
          </cell>
          <cell r="V366">
            <v>836.16000000000008</v>
          </cell>
          <cell r="W366">
            <v>836.16000000000008</v>
          </cell>
          <cell r="X366">
            <v>836.16000000000008</v>
          </cell>
        </row>
        <row r="367">
          <cell r="A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</row>
        <row r="368">
          <cell r="A368"/>
        </row>
        <row r="369">
          <cell r="A369"/>
          <cell r="O369" t="str">
            <v>Attente EMB - TOTAL</v>
          </cell>
          <cell r="P369">
            <v>3991.7475000000004</v>
          </cell>
          <cell r="Q369">
            <v>3991.7475000000004</v>
          </cell>
          <cell r="R369">
            <v>3991.7475000000004</v>
          </cell>
          <cell r="S369">
            <v>3991.7475000000004</v>
          </cell>
          <cell r="T369">
            <v>3991.7475000000004</v>
          </cell>
          <cell r="U369">
            <v>3991.7475000000004</v>
          </cell>
          <cell r="V369">
            <v>3991.7475000000004</v>
          </cell>
          <cell r="W369">
            <v>3991.7475000000004</v>
          </cell>
          <cell r="X369">
            <v>3991.7475000000004</v>
          </cell>
        </row>
        <row r="370">
          <cell r="A370"/>
          <cell r="O370"/>
          <cell r="P370"/>
          <cell r="Q370"/>
          <cell r="R370"/>
          <cell r="S370"/>
          <cell r="T370"/>
          <cell r="U370"/>
          <cell r="V370"/>
        </row>
        <row r="372">
          <cell r="A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 t="str">
            <v>Postes</v>
          </cell>
        </row>
        <row r="374">
          <cell r="A374"/>
          <cell r="N374" t="str">
            <v>T1 NET1 MAX</v>
          </cell>
          <cell r="O374"/>
          <cell r="P374" t="str">
            <v>W22</v>
          </cell>
          <cell r="Q374" t="str">
            <v>S23</v>
          </cell>
          <cell r="R374" t="str">
            <v>W23</v>
          </cell>
          <cell r="S374" t="str">
            <v>S24</v>
          </cell>
          <cell r="T374" t="str">
            <v>W24</v>
          </cell>
          <cell r="U374" t="str">
            <v>S25</v>
          </cell>
          <cell r="V374" t="str">
            <v>W25</v>
          </cell>
          <cell r="W374" t="str">
            <v>S26</v>
          </cell>
          <cell r="X374" t="str">
            <v>W26</v>
          </cell>
          <cell r="Z374" t="str">
            <v>T1 BRUT</v>
          </cell>
        </row>
        <row r="375">
          <cell r="A375"/>
          <cell r="N375" t="str">
            <v>Jonction - Contact</v>
          </cell>
          <cell r="O375" t="str">
            <v>A/B</v>
          </cell>
          <cell r="P375"/>
          <cell r="Q375"/>
          <cell r="R375"/>
          <cell r="S375"/>
          <cell r="T375"/>
          <cell r="U375"/>
          <cell r="V375"/>
          <cell r="W375"/>
          <cell r="X375"/>
          <cell r="Z375" t="str">
            <v>T1 Contact</v>
          </cell>
        </row>
        <row r="376">
          <cell r="A376"/>
          <cell r="N376"/>
          <cell r="O376" t="str">
            <v>C</v>
          </cell>
          <cell r="P376">
            <v>3</v>
          </cell>
          <cell r="Q376">
            <v>3</v>
          </cell>
          <cell r="R376">
            <v>3</v>
          </cell>
          <cell r="S376">
            <v>3</v>
          </cell>
          <cell r="T376">
            <v>3</v>
          </cell>
          <cell r="U376">
            <v>3</v>
          </cell>
          <cell r="V376">
            <v>3</v>
          </cell>
          <cell r="W376">
            <v>3</v>
          </cell>
          <cell r="X376"/>
          <cell r="Z376"/>
        </row>
        <row r="377">
          <cell r="A377"/>
          <cell r="O377" t="str">
            <v>D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  <cell r="V377">
            <v>1</v>
          </cell>
          <cell r="W377">
            <v>1</v>
          </cell>
          <cell r="X377"/>
          <cell r="Z377"/>
        </row>
        <row r="378">
          <cell r="A378"/>
          <cell r="O378" t="str">
            <v>E</v>
          </cell>
          <cell r="P378">
            <v>7</v>
          </cell>
          <cell r="Q378">
            <v>7</v>
          </cell>
          <cell r="R378">
            <v>7</v>
          </cell>
          <cell r="S378">
            <v>7</v>
          </cell>
          <cell r="T378">
            <v>7</v>
          </cell>
          <cell r="U378">
            <v>7</v>
          </cell>
          <cell r="V378">
            <v>7</v>
          </cell>
          <cell r="W378">
            <v>5</v>
          </cell>
          <cell r="X378"/>
          <cell r="Z378"/>
        </row>
        <row r="379">
          <cell r="A379"/>
          <cell r="N379"/>
          <cell r="O379" t="str">
            <v>F</v>
          </cell>
          <cell r="P379">
            <v>4</v>
          </cell>
          <cell r="Q379">
            <v>4</v>
          </cell>
          <cell r="R379">
            <v>4</v>
          </cell>
          <cell r="S379">
            <v>4</v>
          </cell>
          <cell r="T379">
            <v>4</v>
          </cell>
          <cell r="U379">
            <v>4</v>
          </cell>
          <cell r="V379">
            <v>4</v>
          </cell>
          <cell r="W379">
            <v>4</v>
          </cell>
          <cell r="X379"/>
          <cell r="Z379"/>
        </row>
        <row r="380">
          <cell r="A380"/>
          <cell r="N380" t="str">
            <v>SAT5 - Contact</v>
          </cell>
          <cell r="O380" t="str">
            <v>A/B</v>
          </cell>
          <cell r="P380"/>
          <cell r="Q380"/>
          <cell r="R380"/>
          <cell r="S380"/>
          <cell r="T380"/>
          <cell r="U380"/>
          <cell r="V380"/>
          <cell r="W380"/>
          <cell r="X380"/>
          <cell r="Z380"/>
        </row>
        <row r="381">
          <cell r="A381"/>
          <cell r="N381"/>
          <cell r="O381" t="str">
            <v>C</v>
          </cell>
          <cell r="P381">
            <v>4</v>
          </cell>
          <cell r="Q381">
            <v>4</v>
          </cell>
          <cell r="R381">
            <v>4</v>
          </cell>
          <cell r="S381">
            <v>4</v>
          </cell>
          <cell r="T381">
            <v>3</v>
          </cell>
          <cell r="U381">
            <v>3</v>
          </cell>
          <cell r="V381">
            <v>3</v>
          </cell>
          <cell r="W381">
            <v>3</v>
          </cell>
          <cell r="X381"/>
          <cell r="Z381" t="str">
            <v>T1 Large</v>
          </cell>
        </row>
        <row r="382">
          <cell r="A382"/>
          <cell r="O382" t="str">
            <v>D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/>
          <cell r="Z382"/>
        </row>
        <row r="383">
          <cell r="A383"/>
          <cell r="O383" t="str">
            <v>E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  <cell r="V383">
            <v>1</v>
          </cell>
          <cell r="W383">
            <v>1</v>
          </cell>
          <cell r="X383"/>
          <cell r="Z383"/>
        </row>
        <row r="384">
          <cell r="A384"/>
          <cell r="N384"/>
          <cell r="O384" t="str">
            <v>F</v>
          </cell>
          <cell r="P384"/>
          <cell r="Q384"/>
          <cell r="R384"/>
          <cell r="S384"/>
          <cell r="T384"/>
          <cell r="U384"/>
          <cell r="V384"/>
          <cell r="W384"/>
          <cell r="X384"/>
          <cell r="Z384"/>
        </row>
        <row r="385">
          <cell r="A385"/>
          <cell r="N385" t="str">
            <v>SAT6 - Contact</v>
          </cell>
          <cell r="O385" t="str">
            <v>A/B</v>
          </cell>
          <cell r="P385"/>
          <cell r="Q385"/>
          <cell r="R385"/>
          <cell r="S385"/>
          <cell r="T385"/>
          <cell r="U385"/>
          <cell r="V385"/>
          <cell r="W385"/>
          <cell r="X385"/>
          <cell r="Z385"/>
        </row>
        <row r="386">
          <cell r="A386"/>
          <cell r="N386"/>
          <cell r="O386" t="str">
            <v>C</v>
          </cell>
          <cell r="P386">
            <v>3</v>
          </cell>
          <cell r="Q386">
            <v>3</v>
          </cell>
          <cell r="R386">
            <v>3</v>
          </cell>
          <cell r="S386">
            <v>3</v>
          </cell>
          <cell r="T386">
            <v>3</v>
          </cell>
          <cell r="U386">
            <v>3</v>
          </cell>
          <cell r="V386">
            <v>3</v>
          </cell>
          <cell r="W386">
            <v>3</v>
          </cell>
          <cell r="X386"/>
          <cell r="Z386"/>
        </row>
        <row r="387">
          <cell r="A387"/>
          <cell r="O387" t="str">
            <v>D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W387">
            <v>1</v>
          </cell>
          <cell r="X387"/>
        </row>
        <row r="388">
          <cell r="A388"/>
          <cell r="O388" t="str">
            <v>E</v>
          </cell>
          <cell r="P388">
            <v>1</v>
          </cell>
          <cell r="Q388">
            <v>1</v>
          </cell>
          <cell r="R388">
            <v>1</v>
          </cell>
          <cell r="S388">
            <v>1</v>
          </cell>
          <cell r="T388">
            <v>1</v>
          </cell>
          <cell r="U388">
            <v>1</v>
          </cell>
          <cell r="V388">
            <v>1</v>
          </cell>
          <cell r="W388">
            <v>0</v>
          </cell>
          <cell r="X388"/>
        </row>
        <row r="389">
          <cell r="A389"/>
          <cell r="N389"/>
          <cell r="O389" t="str">
            <v>F</v>
          </cell>
          <cell r="P389"/>
          <cell r="Q389"/>
          <cell r="R389"/>
          <cell r="S389"/>
          <cell r="T389"/>
          <cell r="U389"/>
          <cell r="V389"/>
          <cell r="W389"/>
          <cell r="X389"/>
        </row>
        <row r="390">
          <cell r="A390"/>
          <cell r="N390" t="str">
            <v>Global - CONTACT</v>
          </cell>
          <cell r="O390" t="str">
            <v>A/B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/>
        </row>
        <row r="391">
          <cell r="A391"/>
          <cell r="N391"/>
          <cell r="O391" t="str">
            <v>C</v>
          </cell>
          <cell r="P391">
            <v>10</v>
          </cell>
          <cell r="Q391">
            <v>10</v>
          </cell>
          <cell r="R391">
            <v>10</v>
          </cell>
          <cell r="S391">
            <v>10</v>
          </cell>
          <cell r="T391">
            <v>9</v>
          </cell>
          <cell r="U391">
            <v>9</v>
          </cell>
          <cell r="V391">
            <v>9</v>
          </cell>
          <cell r="W391">
            <v>9</v>
          </cell>
          <cell r="X391"/>
        </row>
        <row r="392">
          <cell r="A392"/>
          <cell r="N392"/>
          <cell r="O392" t="str">
            <v>D</v>
          </cell>
          <cell r="P392">
            <v>3</v>
          </cell>
          <cell r="Q392">
            <v>3</v>
          </cell>
          <cell r="R392">
            <v>3</v>
          </cell>
          <cell r="S392">
            <v>3</v>
          </cell>
          <cell r="T392">
            <v>3</v>
          </cell>
          <cell r="U392">
            <v>3</v>
          </cell>
          <cell r="V392">
            <v>3</v>
          </cell>
          <cell r="W392">
            <v>3</v>
          </cell>
          <cell r="X392"/>
        </row>
        <row r="393">
          <cell r="A393"/>
          <cell r="N393"/>
          <cell r="O393" t="str">
            <v>E</v>
          </cell>
          <cell r="P393">
            <v>9</v>
          </cell>
          <cell r="Q393">
            <v>9</v>
          </cell>
          <cell r="R393">
            <v>9</v>
          </cell>
          <cell r="S393">
            <v>9</v>
          </cell>
          <cell r="T393">
            <v>9</v>
          </cell>
          <cell r="U393">
            <v>9</v>
          </cell>
          <cell r="V393">
            <v>9</v>
          </cell>
          <cell r="W393">
            <v>6</v>
          </cell>
          <cell r="X393"/>
        </row>
        <row r="394">
          <cell r="A394"/>
          <cell r="N394"/>
          <cell r="O394" t="str">
            <v>F</v>
          </cell>
          <cell r="P394">
            <v>4</v>
          </cell>
          <cell r="Q394">
            <v>4</v>
          </cell>
          <cell r="R394">
            <v>4</v>
          </cell>
          <cell r="S394">
            <v>4</v>
          </cell>
          <cell r="T394">
            <v>4</v>
          </cell>
          <cell r="U394">
            <v>4</v>
          </cell>
          <cell r="V394">
            <v>4</v>
          </cell>
          <cell r="W394">
            <v>4</v>
          </cell>
          <cell r="X394"/>
        </row>
        <row r="395">
          <cell r="A395"/>
          <cell r="N395"/>
          <cell r="O395" t="str">
            <v>T1 Contact</v>
          </cell>
          <cell r="P395">
            <v>26</v>
          </cell>
          <cell r="Q395">
            <v>26</v>
          </cell>
          <cell r="R395">
            <v>26</v>
          </cell>
          <cell r="S395">
            <v>26</v>
          </cell>
          <cell r="T395">
            <v>25</v>
          </cell>
          <cell r="U395">
            <v>25</v>
          </cell>
          <cell r="V395">
            <v>25</v>
          </cell>
          <cell r="W395">
            <v>22</v>
          </cell>
          <cell r="X395"/>
        </row>
        <row r="396">
          <cell r="A396"/>
        </row>
        <row r="397">
          <cell r="A397"/>
          <cell r="N397" t="str">
            <v>Global - LARGE</v>
          </cell>
          <cell r="O397" t="str">
            <v>A/B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/>
        </row>
        <row r="398">
          <cell r="A398"/>
          <cell r="N398"/>
          <cell r="O398" t="str">
            <v>C</v>
          </cell>
          <cell r="P398">
            <v>5</v>
          </cell>
          <cell r="Q398">
            <v>5</v>
          </cell>
          <cell r="R398">
            <v>5</v>
          </cell>
          <cell r="S398">
            <v>5</v>
          </cell>
          <cell r="T398">
            <v>2</v>
          </cell>
          <cell r="U398">
            <v>2</v>
          </cell>
          <cell r="V398">
            <v>2</v>
          </cell>
          <cell r="W398">
            <v>2</v>
          </cell>
          <cell r="X398"/>
        </row>
        <row r="399">
          <cell r="A399"/>
          <cell r="N399"/>
          <cell r="O399" t="str">
            <v>D</v>
          </cell>
          <cell r="P399">
            <v>2</v>
          </cell>
          <cell r="Q399">
            <v>2</v>
          </cell>
          <cell r="R399">
            <v>2</v>
          </cell>
          <cell r="S399">
            <v>2</v>
          </cell>
          <cell r="T399">
            <v>2</v>
          </cell>
          <cell r="U399">
            <v>2</v>
          </cell>
          <cell r="V399">
            <v>2</v>
          </cell>
          <cell r="W399">
            <v>2</v>
          </cell>
          <cell r="X399"/>
        </row>
        <row r="400">
          <cell r="A400"/>
          <cell r="N400"/>
          <cell r="O400" t="str">
            <v>E</v>
          </cell>
          <cell r="P400">
            <v>9</v>
          </cell>
          <cell r="Q400">
            <v>9</v>
          </cell>
          <cell r="R400">
            <v>9</v>
          </cell>
          <cell r="S400">
            <v>9</v>
          </cell>
          <cell r="T400">
            <v>11</v>
          </cell>
          <cell r="U400">
            <v>11</v>
          </cell>
          <cell r="V400">
            <v>11</v>
          </cell>
          <cell r="W400">
            <v>11</v>
          </cell>
          <cell r="X400"/>
        </row>
        <row r="401">
          <cell r="A401"/>
          <cell r="N401"/>
          <cell r="O401" t="str">
            <v>F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/>
        </row>
        <row r="402">
          <cell r="A402"/>
          <cell r="N402"/>
          <cell r="O402" t="str">
            <v>T1 Large</v>
          </cell>
          <cell r="P402">
            <v>16</v>
          </cell>
          <cell r="Q402">
            <v>16</v>
          </cell>
          <cell r="R402">
            <v>16</v>
          </cell>
          <cell r="S402">
            <v>16</v>
          </cell>
          <cell r="T402">
            <v>15</v>
          </cell>
          <cell r="U402">
            <v>15</v>
          </cell>
          <cell r="V402">
            <v>15</v>
          </cell>
          <cell r="W402">
            <v>15</v>
          </cell>
          <cell r="X402"/>
        </row>
        <row r="403">
          <cell r="A403"/>
        </row>
        <row r="404">
          <cell r="A404"/>
        </row>
        <row r="406">
          <cell r="A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</row>
        <row r="407">
          <cell r="A407" t="str">
            <v>Frontières ARR</v>
          </cell>
          <cell r="H407" t="str">
            <v>Sans EES</v>
          </cell>
          <cell r="I407"/>
          <cell r="J407"/>
          <cell r="K407"/>
          <cell r="L407"/>
        </row>
        <row r="408">
          <cell r="A408"/>
          <cell r="H408" t="str">
            <v>QP Passeports</v>
          </cell>
          <cell r="I408"/>
          <cell r="J408" t="str">
            <v>T1 ARR</v>
          </cell>
          <cell r="K408" t="str">
            <v>Aubette</v>
          </cell>
          <cell r="L408" t="str">
            <v>Parafe</v>
          </cell>
          <cell r="M408"/>
          <cell r="N408"/>
          <cell r="O408" t="str">
            <v>T1 - PAF ARR</v>
          </cell>
          <cell r="P408" t="str">
            <v>W22</v>
          </cell>
          <cell r="Q408" t="str">
            <v>S23</v>
          </cell>
          <cell r="R408" t="str">
            <v>W23</v>
          </cell>
          <cell r="S408" t="str">
            <v>S24</v>
          </cell>
          <cell r="T408" t="str">
            <v>W24</v>
          </cell>
          <cell r="U408" t="str">
            <v>S25</v>
          </cell>
          <cell r="V408" t="str">
            <v>W25</v>
          </cell>
          <cell r="W408" t="str">
            <v>S26</v>
          </cell>
          <cell r="X408" t="str">
            <v>W26</v>
          </cell>
          <cell r="Z408"/>
        </row>
        <row r="409">
          <cell r="A409"/>
          <cell r="H409" t="str">
            <v>UE</v>
          </cell>
          <cell r="I409">
            <v>0.51</v>
          </cell>
          <cell r="J409" t="str">
            <v>Part modale</v>
          </cell>
          <cell r="K409"/>
          <cell r="L409"/>
          <cell r="N409"/>
          <cell r="Z409"/>
        </row>
        <row r="410">
          <cell r="A410"/>
          <cell r="H410" t="str">
            <v>RPT13</v>
          </cell>
          <cell r="I410">
            <v>0.25</v>
          </cell>
          <cell r="J410" t="str">
            <v>UE</v>
          </cell>
          <cell r="K410">
            <v>0.4</v>
          </cell>
          <cell r="L410">
            <v>0.6</v>
          </cell>
          <cell r="M410"/>
          <cell r="N410"/>
          <cell r="O410" t="str">
            <v>NB position aubette</v>
          </cell>
          <cell r="P410">
            <v>18</v>
          </cell>
          <cell r="Q410">
            <v>18</v>
          </cell>
          <cell r="R410">
            <v>18</v>
          </cell>
          <cell r="S410">
            <v>18</v>
          </cell>
          <cell r="T410">
            <v>18</v>
          </cell>
          <cell r="U410">
            <v>18</v>
          </cell>
          <cell r="V410">
            <v>18</v>
          </cell>
          <cell r="W410">
            <v>18</v>
          </cell>
          <cell r="X410">
            <v>18</v>
          </cell>
          <cell r="Z410"/>
        </row>
        <row r="411">
          <cell r="A411"/>
          <cell r="H411" t="str">
            <v>Autres TP</v>
          </cell>
          <cell r="I411">
            <v>0.24</v>
          </cell>
          <cell r="J411" t="str">
            <v>RPT13</v>
          </cell>
          <cell r="K411">
            <v>0.4</v>
          </cell>
          <cell r="L411">
            <v>0.6</v>
          </cell>
          <cell r="M411"/>
          <cell r="N411"/>
          <cell r="O411" t="str">
            <v>Débit unitaire</v>
          </cell>
          <cell r="P411">
            <v>87</v>
          </cell>
          <cell r="Q411">
            <v>90</v>
          </cell>
          <cell r="R411">
            <v>90</v>
          </cell>
          <cell r="S411">
            <v>90</v>
          </cell>
          <cell r="T411">
            <v>90</v>
          </cell>
          <cell r="U411">
            <v>90</v>
          </cell>
          <cell r="V411">
            <v>90</v>
          </cell>
          <cell r="W411">
            <v>65</v>
          </cell>
          <cell r="X411">
            <v>65</v>
          </cell>
          <cell r="Z411"/>
        </row>
        <row r="412">
          <cell r="A412"/>
          <cell r="I412"/>
          <cell r="J412" t="str">
            <v>Autres TP</v>
          </cell>
          <cell r="K412">
            <v>1</v>
          </cell>
          <cell r="L412"/>
          <cell r="M412"/>
          <cell r="N412"/>
          <cell r="O412" t="str">
            <v>Débit Aubette</v>
          </cell>
          <cell r="P412">
            <v>1566</v>
          </cell>
          <cell r="Q412">
            <v>1620</v>
          </cell>
          <cell r="R412">
            <v>1620</v>
          </cell>
          <cell r="S412">
            <v>1620</v>
          </cell>
          <cell r="T412">
            <v>1620</v>
          </cell>
          <cell r="U412">
            <v>1620</v>
          </cell>
          <cell r="V412">
            <v>1620</v>
          </cell>
          <cell r="W412">
            <v>1170</v>
          </cell>
          <cell r="X412">
            <v>1170</v>
          </cell>
          <cell r="Z412"/>
        </row>
        <row r="413">
          <cell r="A413"/>
          <cell r="J413" t="str">
            <v>TTU</v>
          </cell>
          <cell r="K413"/>
          <cell r="L413"/>
          <cell r="P413"/>
          <cell r="Q413"/>
          <cell r="R413"/>
          <cell r="S413"/>
          <cell r="T413"/>
          <cell r="U413"/>
          <cell r="V413"/>
          <cell r="W413"/>
          <cell r="X413"/>
        </row>
        <row r="414">
          <cell r="A414"/>
          <cell r="J414" t="str">
            <v>UE</v>
          </cell>
          <cell r="K414">
            <v>27</v>
          </cell>
          <cell r="L414">
            <v>31</v>
          </cell>
          <cell r="M414"/>
          <cell r="O414" t="str">
            <v>NB Parafes</v>
          </cell>
          <cell r="P414">
            <v>9</v>
          </cell>
          <cell r="Q414">
            <v>9</v>
          </cell>
          <cell r="R414">
            <v>10</v>
          </cell>
          <cell r="S414">
            <v>12</v>
          </cell>
          <cell r="T414">
            <v>12</v>
          </cell>
          <cell r="U414">
            <v>12</v>
          </cell>
          <cell r="V414">
            <v>12</v>
          </cell>
          <cell r="W414">
            <v>12</v>
          </cell>
          <cell r="X414">
            <v>12</v>
          </cell>
        </row>
        <row r="415">
          <cell r="A415"/>
          <cell r="J415" t="str">
            <v>RPT13</v>
          </cell>
          <cell r="K415">
            <v>47.6</v>
          </cell>
          <cell r="L415">
            <v>31</v>
          </cell>
          <cell r="O415" t="str">
            <v>Débit unitaire</v>
          </cell>
          <cell r="P415">
            <v>116</v>
          </cell>
          <cell r="Q415">
            <v>116</v>
          </cell>
          <cell r="R415">
            <v>116</v>
          </cell>
          <cell r="S415">
            <v>116</v>
          </cell>
          <cell r="T415">
            <v>116</v>
          </cell>
          <cell r="U415">
            <v>116</v>
          </cell>
          <cell r="V415">
            <v>116</v>
          </cell>
          <cell r="W415">
            <v>109</v>
          </cell>
          <cell r="X415">
            <v>109</v>
          </cell>
        </row>
        <row r="416">
          <cell r="A416"/>
          <cell r="J416" t="str">
            <v>Autres TP</v>
          </cell>
          <cell r="K416">
            <v>47.6</v>
          </cell>
          <cell r="L416"/>
          <cell r="M416"/>
          <cell r="O416" t="str">
            <v>Débit Parafe</v>
          </cell>
          <cell r="P416">
            <v>1044</v>
          </cell>
          <cell r="Q416">
            <v>1044</v>
          </cell>
          <cell r="R416">
            <v>1160</v>
          </cell>
          <cell r="S416">
            <v>1392</v>
          </cell>
          <cell r="T416">
            <v>1392</v>
          </cell>
          <cell r="U416">
            <v>1392</v>
          </cell>
          <cell r="V416">
            <v>1392</v>
          </cell>
          <cell r="W416">
            <v>1308</v>
          </cell>
          <cell r="X416">
            <v>1308</v>
          </cell>
        </row>
        <row r="417">
          <cell r="A417"/>
          <cell r="J417" t="str">
            <v>Résultante unitaire</v>
          </cell>
          <cell r="K417"/>
          <cell r="L417"/>
          <cell r="P417"/>
          <cell r="Q417"/>
          <cell r="R417"/>
          <cell r="S417"/>
          <cell r="T417"/>
          <cell r="U417"/>
          <cell r="V417"/>
          <cell r="W417"/>
          <cell r="X417"/>
        </row>
        <row r="418">
          <cell r="A418"/>
          <cell r="J418" t="str">
            <v>PM</v>
          </cell>
          <cell r="K418">
            <v>0.54400000000000004</v>
          </cell>
          <cell r="L418">
            <v>0.45599999999999996</v>
          </cell>
          <cell r="M418"/>
          <cell r="O418" t="str">
            <v>Débit PAF ARR</v>
          </cell>
          <cell r="P418">
            <v>2610</v>
          </cell>
          <cell r="Q418">
            <v>2664</v>
          </cell>
          <cell r="R418">
            <v>2780</v>
          </cell>
          <cell r="S418">
            <v>3012</v>
          </cell>
          <cell r="T418">
            <v>3012</v>
          </cell>
          <cell r="U418">
            <v>3012</v>
          </cell>
          <cell r="V418">
            <v>3012</v>
          </cell>
          <cell r="W418">
            <v>2478</v>
          </cell>
          <cell r="X418">
            <v>2478</v>
          </cell>
        </row>
        <row r="419">
          <cell r="A419"/>
          <cell r="J419" t="str">
            <v>TTU</v>
          </cell>
          <cell r="K419">
            <v>39.875</v>
          </cell>
          <cell r="L419">
            <v>31</v>
          </cell>
          <cell r="M419"/>
          <cell r="P419"/>
          <cell r="Q419"/>
          <cell r="R419"/>
          <cell r="S419"/>
          <cell r="T419"/>
          <cell r="U419"/>
          <cell r="V419"/>
        </row>
        <row r="420">
          <cell r="A420"/>
          <cell r="J420" t="str">
            <v xml:space="preserve">Débit unitaire </v>
          </cell>
          <cell r="K420">
            <v>90.282131661442008</v>
          </cell>
          <cell r="L420">
            <v>116.12903225806451</v>
          </cell>
          <cell r="M420"/>
          <cell r="P420"/>
          <cell r="Q420"/>
          <cell r="R420"/>
          <cell r="S420"/>
          <cell r="T420"/>
          <cell r="U420"/>
          <cell r="V420"/>
        </row>
        <row r="421">
          <cell r="A421"/>
          <cell r="J421"/>
          <cell r="K421"/>
          <cell r="L421"/>
          <cell r="M421"/>
          <cell r="P421"/>
          <cell r="Q421"/>
          <cell r="R421"/>
          <cell r="S421"/>
          <cell r="T421"/>
          <cell r="U421"/>
          <cell r="V421"/>
        </row>
        <row r="422">
          <cell r="A422"/>
          <cell r="J422"/>
          <cell r="K422"/>
          <cell r="L422"/>
          <cell r="M422"/>
          <cell r="O422" t="str">
            <v>T1 - Surface PAF ARR</v>
          </cell>
          <cell r="P422" t="str">
            <v>W22</v>
          </cell>
          <cell r="Q422" t="str">
            <v>S23</v>
          </cell>
          <cell r="R422" t="str">
            <v>W23</v>
          </cell>
          <cell r="S422" t="str">
            <v>S24</v>
          </cell>
          <cell r="T422" t="str">
            <v>W24</v>
          </cell>
          <cell r="U422" t="str">
            <v>S25</v>
          </cell>
          <cell r="V422" t="str">
            <v>W25</v>
          </cell>
          <cell r="W422" t="str">
            <v>S26</v>
          </cell>
          <cell r="X422" t="str">
            <v>W26</v>
          </cell>
        </row>
        <row r="423">
          <cell r="A423"/>
          <cell r="H423" t="str">
            <v>Avec EES</v>
          </cell>
          <cell r="I423"/>
          <cell r="J423"/>
          <cell r="K423"/>
          <cell r="L423"/>
          <cell r="O423" t="str">
            <v>Arrivée Sud</v>
          </cell>
          <cell r="P423">
            <v>710</v>
          </cell>
          <cell r="Q423">
            <v>710</v>
          </cell>
          <cell r="R423">
            <v>710</v>
          </cell>
          <cell r="S423">
            <v>710</v>
          </cell>
          <cell r="T423">
            <v>710</v>
          </cell>
          <cell r="U423">
            <v>710</v>
          </cell>
          <cell r="V423">
            <v>710</v>
          </cell>
          <cell r="W423">
            <v>710</v>
          </cell>
          <cell r="X423">
            <v>710</v>
          </cell>
        </row>
        <row r="424">
          <cell r="A424"/>
          <cell r="H424" t="str">
            <v>QP Passeports</v>
          </cell>
          <cell r="I424"/>
          <cell r="J424" t="str">
            <v>T1 ARR</v>
          </cell>
          <cell r="K424" t="str">
            <v>Aubette</v>
          </cell>
          <cell r="L424" t="str">
            <v>Parafe</v>
          </cell>
          <cell r="M424"/>
          <cell r="O424" t="str">
            <v>Arrivée Nord</v>
          </cell>
          <cell r="P424">
            <v>420</v>
          </cell>
          <cell r="Q424">
            <v>420</v>
          </cell>
          <cell r="R424">
            <v>420</v>
          </cell>
          <cell r="S424">
            <v>395</v>
          </cell>
          <cell r="T424">
            <v>395</v>
          </cell>
          <cell r="U424">
            <v>395</v>
          </cell>
          <cell r="V424">
            <v>395</v>
          </cell>
          <cell r="W424">
            <v>395</v>
          </cell>
          <cell r="X424">
            <v>395</v>
          </cell>
        </row>
        <row r="425">
          <cell r="A425"/>
          <cell r="H425" t="str">
            <v>UE</v>
          </cell>
          <cell r="I425">
            <v>0.51</v>
          </cell>
          <cell r="J425" t="str">
            <v>Part modale</v>
          </cell>
          <cell r="K425"/>
          <cell r="L425"/>
          <cell r="O425" t="str">
            <v>SURFACE GLOBAL</v>
          </cell>
          <cell r="P425">
            <v>1130</v>
          </cell>
          <cell r="Q425">
            <v>1130</v>
          </cell>
          <cell r="R425">
            <v>1130</v>
          </cell>
          <cell r="S425">
            <v>1105</v>
          </cell>
          <cell r="T425">
            <v>1105</v>
          </cell>
          <cell r="U425">
            <v>1105</v>
          </cell>
          <cell r="V425">
            <v>1105</v>
          </cell>
          <cell r="W425">
            <v>1105</v>
          </cell>
          <cell r="X425">
            <v>1105</v>
          </cell>
        </row>
        <row r="426">
          <cell r="A426"/>
          <cell r="H426" t="str">
            <v>RPT13</v>
          </cell>
          <cell r="I426">
            <v>0.25</v>
          </cell>
          <cell r="J426" t="str">
            <v>UE</v>
          </cell>
          <cell r="K426">
            <v>0.4</v>
          </cell>
          <cell r="L426">
            <v>0.6</v>
          </cell>
          <cell r="M426"/>
        </row>
        <row r="427">
          <cell r="A427"/>
          <cell r="H427" t="str">
            <v>Autres TP</v>
          </cell>
          <cell r="I427">
            <v>0.24</v>
          </cell>
          <cell r="J427" t="str">
            <v>RPT13</v>
          </cell>
          <cell r="K427">
            <v>0.4</v>
          </cell>
          <cell r="L427">
            <v>0.6</v>
          </cell>
          <cell r="M427"/>
          <cell r="O427" t="str">
            <v>Temps d'attente maximum (min)</v>
          </cell>
          <cell r="P427">
            <v>20</v>
          </cell>
          <cell r="Q427">
            <v>20</v>
          </cell>
          <cell r="R427">
            <v>20</v>
          </cell>
          <cell r="S427">
            <v>20</v>
          </cell>
          <cell r="T427">
            <v>20</v>
          </cell>
          <cell r="U427">
            <v>20</v>
          </cell>
          <cell r="V427">
            <v>20</v>
          </cell>
          <cell r="W427">
            <v>20</v>
          </cell>
          <cell r="X427">
            <v>20</v>
          </cell>
        </row>
        <row r="428">
          <cell r="A428"/>
          <cell r="I428"/>
          <cell r="J428" t="str">
            <v>Autres TP</v>
          </cell>
          <cell r="K428">
            <v>1</v>
          </cell>
          <cell r="L428"/>
          <cell r="M428"/>
          <cell r="O428" t="str">
            <v>Standard IATA C (m2/PAX)</v>
          </cell>
          <cell r="P428">
            <v>1</v>
          </cell>
          <cell r="Q428">
            <v>1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1</v>
          </cell>
        </row>
        <row r="429">
          <cell r="A429"/>
          <cell r="J429" t="str">
            <v>TTU</v>
          </cell>
          <cell r="K429"/>
          <cell r="L429"/>
        </row>
        <row r="430">
          <cell r="A430"/>
          <cell r="H430"/>
          <cell r="J430" t="str">
            <v>UE</v>
          </cell>
          <cell r="K430">
            <v>27</v>
          </cell>
          <cell r="L430">
            <v>31</v>
          </cell>
          <cell r="M430"/>
          <cell r="O430" t="str">
            <v>Attente PAF ARR</v>
          </cell>
          <cell r="P430">
            <v>3390</v>
          </cell>
          <cell r="Q430">
            <v>3390</v>
          </cell>
          <cell r="R430">
            <v>3390</v>
          </cell>
          <cell r="S430">
            <v>3315</v>
          </cell>
          <cell r="T430">
            <v>3315</v>
          </cell>
          <cell r="U430">
            <v>3315</v>
          </cell>
          <cell r="V430">
            <v>3315</v>
          </cell>
          <cell r="W430">
            <v>3315</v>
          </cell>
          <cell r="X430">
            <v>3315</v>
          </cell>
        </row>
        <row r="431">
          <cell r="A431"/>
          <cell r="J431" t="str">
            <v>RPT13</v>
          </cell>
          <cell r="K431">
            <v>72</v>
          </cell>
          <cell r="L431">
            <v>37</v>
          </cell>
          <cell r="P431"/>
          <cell r="Q431"/>
          <cell r="R431"/>
          <cell r="S431"/>
          <cell r="T431"/>
          <cell r="U431"/>
          <cell r="V431"/>
        </row>
        <row r="432">
          <cell r="A432"/>
          <cell r="J432" t="str">
            <v>Autres TP</v>
          </cell>
          <cell r="K432">
            <v>72</v>
          </cell>
          <cell r="L432"/>
          <cell r="M432"/>
          <cell r="P432"/>
          <cell r="Q432"/>
          <cell r="R432"/>
          <cell r="S432"/>
          <cell r="T432"/>
          <cell r="U432"/>
          <cell r="V432"/>
        </row>
        <row r="433">
          <cell r="A433"/>
          <cell r="J433" t="str">
            <v>Résultante unitaire</v>
          </cell>
          <cell r="K433"/>
          <cell r="L433"/>
          <cell r="P433"/>
          <cell r="Q433"/>
          <cell r="R433"/>
          <cell r="S433"/>
          <cell r="T433"/>
          <cell r="U433"/>
          <cell r="V433"/>
        </row>
        <row r="434">
          <cell r="A434"/>
          <cell r="J434" t="str">
            <v>PM</v>
          </cell>
          <cell r="K434">
            <v>0.54400000000000004</v>
          </cell>
          <cell r="L434">
            <v>0.45599999999999996</v>
          </cell>
          <cell r="M434"/>
          <cell r="P434"/>
          <cell r="Q434"/>
          <cell r="R434"/>
          <cell r="S434"/>
          <cell r="T434"/>
          <cell r="U434"/>
          <cell r="V434"/>
        </row>
        <row r="435">
          <cell r="A435"/>
          <cell r="J435" t="str">
            <v>TTU</v>
          </cell>
          <cell r="K435">
            <v>55.124999999999993</v>
          </cell>
          <cell r="L435">
            <v>32.973684210526322</v>
          </cell>
          <cell r="M435"/>
          <cell r="P435"/>
          <cell r="Q435"/>
          <cell r="R435"/>
          <cell r="S435"/>
          <cell r="T435"/>
          <cell r="U435"/>
          <cell r="V435"/>
        </row>
        <row r="436">
          <cell r="A436"/>
          <cell r="J436" t="str">
            <v xml:space="preserve">Débit unitaire </v>
          </cell>
          <cell r="K436">
            <v>65.306122448979593</v>
          </cell>
          <cell r="L436">
            <v>109.17797286512368</v>
          </cell>
          <cell r="M436"/>
          <cell r="P436"/>
          <cell r="Q436"/>
          <cell r="R436"/>
          <cell r="S436"/>
          <cell r="T436"/>
          <cell r="U436"/>
          <cell r="V436"/>
        </row>
        <row r="437">
          <cell r="A437"/>
          <cell r="J437"/>
          <cell r="K437"/>
          <cell r="L437"/>
          <cell r="M437"/>
          <cell r="P437"/>
          <cell r="Q437"/>
          <cell r="R437"/>
          <cell r="S437"/>
          <cell r="T437"/>
          <cell r="U437"/>
          <cell r="V437"/>
        </row>
        <row r="438">
          <cell r="A438"/>
          <cell r="I438"/>
          <cell r="J438"/>
          <cell r="K438"/>
          <cell r="L438"/>
          <cell r="M438"/>
          <cell r="P438"/>
          <cell r="Q438"/>
          <cell r="R438"/>
          <cell r="S438"/>
          <cell r="T438"/>
          <cell r="U438"/>
          <cell r="V438"/>
        </row>
        <row r="439">
          <cell r="A439"/>
          <cell r="J439"/>
          <cell r="K439"/>
          <cell r="L439"/>
          <cell r="M439"/>
          <cell r="N439"/>
          <cell r="Z439"/>
        </row>
        <row r="440"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</row>
        <row r="441">
          <cell r="A441" t="str">
            <v>SLB</v>
          </cell>
          <cell r="I441"/>
          <cell r="J441"/>
          <cell r="K441"/>
          <cell r="L441"/>
          <cell r="M441"/>
          <cell r="N441"/>
          <cell r="Z441"/>
        </row>
        <row r="442">
          <cell r="A442"/>
          <cell r="I442"/>
          <cell r="J442"/>
          <cell r="K442"/>
          <cell r="L442"/>
          <cell r="M442"/>
          <cell r="N442"/>
          <cell r="O442" t="str">
            <v>T1 - SLB</v>
          </cell>
          <cell r="P442" t="str">
            <v>W22</v>
          </cell>
          <cell r="Q442" t="str">
            <v>S23</v>
          </cell>
          <cell r="R442" t="str">
            <v>W23</v>
          </cell>
          <cell r="S442" t="str">
            <v>S24</v>
          </cell>
          <cell r="T442" t="str">
            <v>W24</v>
          </cell>
          <cell r="U442" t="str">
            <v>S25</v>
          </cell>
          <cell r="V442" t="str">
            <v>W25</v>
          </cell>
          <cell r="W442" t="str">
            <v>S26</v>
          </cell>
          <cell r="X442" t="str">
            <v>W26</v>
          </cell>
          <cell r="Z442"/>
        </row>
        <row r="443">
          <cell r="A443"/>
        </row>
        <row r="444">
          <cell r="A444"/>
          <cell r="O444" t="str">
            <v>NB tapis - Courts</v>
          </cell>
          <cell r="P444">
            <v>5</v>
          </cell>
          <cell r="Q444">
            <v>5</v>
          </cell>
          <cell r="R444">
            <v>4</v>
          </cell>
          <cell r="S444">
            <v>4</v>
          </cell>
          <cell r="T444">
            <v>4</v>
          </cell>
          <cell r="U444">
            <v>4</v>
          </cell>
          <cell r="V444">
            <v>4</v>
          </cell>
          <cell r="W444">
            <v>4</v>
          </cell>
          <cell r="X444">
            <v>4</v>
          </cell>
        </row>
        <row r="445">
          <cell r="A445"/>
        </row>
        <row r="446">
          <cell r="A446"/>
          <cell r="O446" t="str">
            <v>NB tapis - Longs</v>
          </cell>
          <cell r="P446">
            <v>0</v>
          </cell>
          <cell r="Q446">
            <v>1</v>
          </cell>
          <cell r="R446">
            <v>2</v>
          </cell>
          <cell r="S446">
            <v>2</v>
          </cell>
          <cell r="T446">
            <v>2</v>
          </cell>
          <cell r="U446">
            <v>2</v>
          </cell>
          <cell r="V446">
            <v>2</v>
          </cell>
          <cell r="W446">
            <v>2</v>
          </cell>
          <cell r="X446">
            <v>2</v>
          </cell>
        </row>
        <row r="447">
          <cell r="A447"/>
        </row>
        <row r="448">
          <cell r="A448"/>
        </row>
        <row r="449">
          <cell r="A449"/>
        </row>
        <row r="450">
          <cell r="A450"/>
        </row>
        <row r="451">
          <cell r="A451"/>
        </row>
        <row r="452">
          <cell r="A452"/>
        </row>
        <row r="453">
          <cell r="A453"/>
        </row>
        <row r="454">
          <cell r="A454"/>
        </row>
        <row r="455">
          <cell r="A455"/>
        </row>
        <row r="456">
          <cell r="A456"/>
        </row>
        <row r="457">
          <cell r="A457"/>
        </row>
        <row r="458">
          <cell r="A458"/>
        </row>
      </sheetData>
      <sheetData sheetId="3">
        <row r="1">
          <cell r="B1" t="str">
            <v>T3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T3 -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1.9</v>
          </cell>
          <cell r="Q5">
            <v>1.9</v>
          </cell>
          <cell r="R5">
            <v>1.9</v>
          </cell>
          <cell r="S5">
            <v>1.9</v>
          </cell>
          <cell r="T5">
            <v>1.9</v>
          </cell>
          <cell r="U5">
            <v>1.9</v>
          </cell>
          <cell r="V5">
            <v>1.9</v>
          </cell>
          <cell r="W5">
            <v>1.9</v>
          </cell>
          <cell r="X5">
            <v>1.9</v>
          </cell>
        </row>
        <row r="6">
          <cell r="A6"/>
          <cell r="O6" t="str">
            <v>Capacité Officielle SCH</v>
          </cell>
          <cell r="P6">
            <v>2.2000000000000002</v>
          </cell>
          <cell r="Q6">
            <v>2.2000000000000002</v>
          </cell>
          <cell r="R6">
            <v>2.2000000000000002</v>
          </cell>
          <cell r="S6">
            <v>2.2000000000000002</v>
          </cell>
          <cell r="T6">
            <v>2.2000000000000002</v>
          </cell>
          <cell r="U6">
            <v>2.2000000000000002</v>
          </cell>
          <cell r="V6">
            <v>2.2000000000000002</v>
          </cell>
          <cell r="W6">
            <v>2.2000000000000002</v>
          </cell>
          <cell r="X6">
            <v>2.2000000000000002</v>
          </cell>
        </row>
        <row r="7">
          <cell r="A7"/>
          <cell r="O7" t="str">
            <v>Capacité Officielle TOTALE</v>
          </cell>
          <cell r="P7">
            <v>4.0999999999999996</v>
          </cell>
          <cell r="Q7">
            <v>4.0999999999999996</v>
          </cell>
          <cell r="R7">
            <v>4.0999999999999996</v>
          </cell>
          <cell r="S7">
            <v>4.0999999999999996</v>
          </cell>
          <cell r="T7">
            <v>4.0999999999999996</v>
          </cell>
          <cell r="U7">
            <v>4.0999999999999996</v>
          </cell>
          <cell r="V7">
            <v>4.0999999999999996</v>
          </cell>
          <cell r="W7">
            <v>4.0999999999999996</v>
          </cell>
          <cell r="X7">
            <v>4.0999999999999996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1000</v>
          </cell>
          <cell r="Q11">
            <v>1000</v>
          </cell>
          <cell r="R11">
            <v>1000</v>
          </cell>
          <cell r="S11">
            <v>1000</v>
          </cell>
          <cell r="T11">
            <v>1000</v>
          </cell>
          <cell r="U11">
            <v>1000</v>
          </cell>
          <cell r="V11">
            <v>1000</v>
          </cell>
          <cell r="W11">
            <v>1000</v>
          </cell>
          <cell r="X11">
            <v>1000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T3 -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822</v>
          </cell>
          <cell r="R20"/>
          <cell r="S20">
            <v>858</v>
          </cell>
          <cell r="T20"/>
          <cell r="U20">
            <v>885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543</v>
          </cell>
          <cell r="R21"/>
          <cell r="S21">
            <v>578</v>
          </cell>
          <cell r="T21"/>
          <cell r="U21">
            <v>561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1160</v>
          </cell>
          <cell r="R22"/>
          <cell r="S22">
            <v>1231</v>
          </cell>
          <cell r="T22"/>
          <cell r="U22">
            <v>1274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1197</v>
          </cell>
          <cell r="Q24">
            <v>1197</v>
          </cell>
          <cell r="R24">
            <v>1197</v>
          </cell>
          <cell r="S24">
            <v>1197</v>
          </cell>
          <cell r="T24">
            <v>1197</v>
          </cell>
          <cell r="U24">
            <v>1197</v>
          </cell>
          <cell r="V24">
            <v>1197</v>
          </cell>
          <cell r="W24">
            <v>1197</v>
          </cell>
          <cell r="X24">
            <v>1197</v>
          </cell>
        </row>
        <row r="25">
          <cell r="A25"/>
          <cell r="N25"/>
          <cell r="O25" t="str">
            <v>Capacité Surfaces</v>
          </cell>
          <cell r="P25">
            <v>2685.7142857142858</v>
          </cell>
          <cell r="Q25">
            <v>2685.7142857142858</v>
          </cell>
          <cell r="R25">
            <v>2685.7142857142858</v>
          </cell>
          <cell r="S25">
            <v>2685.7142857142858</v>
          </cell>
          <cell r="T25">
            <v>2685.7142857142858</v>
          </cell>
          <cell r="U25">
            <v>2685.7142857142858</v>
          </cell>
          <cell r="V25">
            <v>2685.7142857142858</v>
          </cell>
          <cell r="W25">
            <v>2685.7142857142858</v>
          </cell>
          <cell r="X25">
            <v>2685.7142857142858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1330</v>
          </cell>
          <cell r="Q27">
            <v>1330</v>
          </cell>
          <cell r="R27">
            <v>1330</v>
          </cell>
          <cell r="S27">
            <v>1496.25</v>
          </cell>
          <cell r="T27">
            <v>1496.25</v>
          </cell>
          <cell r="U27">
            <v>1496.25</v>
          </cell>
          <cell r="V27">
            <v>1496.25</v>
          </cell>
          <cell r="W27">
            <v>1496.25</v>
          </cell>
          <cell r="X27">
            <v>1496.25</v>
          </cell>
        </row>
        <row r="28">
          <cell r="A28"/>
          <cell r="N28"/>
          <cell r="O28"/>
        </row>
        <row r="29">
          <cell r="A29"/>
          <cell r="N29" t="str">
            <v>PIF</v>
          </cell>
          <cell r="O29" t="str">
            <v>Capacité Equipements</v>
          </cell>
          <cell r="P29">
            <v>1260</v>
          </cell>
          <cell r="Q29">
            <v>1260</v>
          </cell>
          <cell r="R29">
            <v>1260</v>
          </cell>
          <cell r="S29">
            <v>1260</v>
          </cell>
          <cell r="T29">
            <v>1260</v>
          </cell>
          <cell r="U29">
            <v>1260</v>
          </cell>
          <cell r="V29">
            <v>1260</v>
          </cell>
          <cell r="W29">
            <v>1180</v>
          </cell>
          <cell r="X29">
            <v>1260</v>
          </cell>
        </row>
        <row r="30">
          <cell r="A30"/>
          <cell r="N30"/>
          <cell r="O30" t="str">
            <v>Capacité Surfaces</v>
          </cell>
          <cell r="P30">
            <v>1800</v>
          </cell>
          <cell r="Q30">
            <v>1800</v>
          </cell>
          <cell r="R30">
            <v>1800</v>
          </cell>
          <cell r="S30">
            <v>1800</v>
          </cell>
          <cell r="T30">
            <v>1800</v>
          </cell>
          <cell r="U30">
            <v>1800</v>
          </cell>
          <cell r="V30">
            <v>1800</v>
          </cell>
          <cell r="W30">
            <v>1800</v>
          </cell>
          <cell r="X30">
            <v>1800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1260</v>
          </cell>
          <cell r="Q32">
            <v>1260</v>
          </cell>
          <cell r="R32">
            <v>1260</v>
          </cell>
          <cell r="S32">
            <v>1260</v>
          </cell>
          <cell r="T32">
            <v>1260</v>
          </cell>
          <cell r="U32">
            <v>1260</v>
          </cell>
          <cell r="V32">
            <v>1260</v>
          </cell>
          <cell r="W32">
            <v>1180</v>
          </cell>
          <cell r="X32">
            <v>1260</v>
          </cell>
        </row>
        <row r="33">
          <cell r="A33"/>
          <cell r="N33"/>
          <cell r="O33"/>
        </row>
        <row r="34">
          <cell r="A34"/>
          <cell r="N34" t="str">
            <v>PAF</v>
          </cell>
          <cell r="O34" t="str">
            <v>Capacité Equipements</v>
          </cell>
          <cell r="P34">
            <v>984</v>
          </cell>
          <cell r="Q34">
            <v>1020</v>
          </cell>
          <cell r="R34">
            <v>1252</v>
          </cell>
          <cell r="S34">
            <v>1252</v>
          </cell>
          <cell r="T34">
            <v>1368</v>
          </cell>
          <cell r="U34">
            <v>1368</v>
          </cell>
          <cell r="V34">
            <v>1368</v>
          </cell>
          <cell r="W34">
            <v>1374</v>
          </cell>
          <cell r="X34">
            <v>1374</v>
          </cell>
        </row>
        <row r="35">
          <cell r="A35"/>
          <cell r="N35"/>
          <cell r="O35" t="str">
            <v>Capacité Surfaces</v>
          </cell>
          <cell r="P35">
            <v>825</v>
          </cell>
          <cell r="Q35">
            <v>825</v>
          </cell>
          <cell r="R35">
            <v>825</v>
          </cell>
          <cell r="S35">
            <v>825</v>
          </cell>
          <cell r="T35">
            <v>855</v>
          </cell>
          <cell r="U35">
            <v>855</v>
          </cell>
          <cell r="V35">
            <v>855</v>
          </cell>
          <cell r="W35">
            <v>855</v>
          </cell>
          <cell r="X35">
            <v>855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QP INT en pointe</v>
          </cell>
          <cell r="P37">
            <v>0.77</v>
          </cell>
          <cell r="Q37">
            <v>0.82</v>
          </cell>
          <cell r="R37">
            <v>0.82</v>
          </cell>
          <cell r="S37">
            <v>0.57999999999999996</v>
          </cell>
          <cell r="T37">
            <v>0.57999999999999996</v>
          </cell>
          <cell r="U37">
            <v>0.57999999999999996</v>
          </cell>
          <cell r="V37">
            <v>0.54</v>
          </cell>
          <cell r="W37">
            <v>0.54</v>
          </cell>
          <cell r="X37">
            <v>0.54</v>
          </cell>
        </row>
        <row r="38">
          <cell r="A38"/>
          <cell r="N38"/>
          <cell r="O38" t="str">
            <v>Capacité fictive Bloc</v>
          </cell>
          <cell r="P38">
            <v>1277.922077922078</v>
          </cell>
          <cell r="Q38">
            <v>1243.9024390243903</v>
          </cell>
          <cell r="R38">
            <v>1526.8292682926831</v>
          </cell>
          <cell r="S38">
            <v>2158.6206896551726</v>
          </cell>
          <cell r="T38">
            <v>2358.6206896551726</v>
          </cell>
          <cell r="U38">
            <v>2358.6206896551726</v>
          </cell>
          <cell r="V38">
            <v>2533.333333333333</v>
          </cell>
          <cell r="W38">
            <v>2544.4444444444443</v>
          </cell>
          <cell r="X38">
            <v>2544.4444444444443</v>
          </cell>
        </row>
        <row r="39">
          <cell r="A39"/>
          <cell r="N39"/>
          <cell r="O39"/>
        </row>
        <row r="40">
          <cell r="A40"/>
          <cell r="N40" t="str">
            <v>EMB INTER</v>
          </cell>
          <cell r="O40" t="str">
            <v>Capacité Equipements</v>
          </cell>
          <cell r="P40">
            <v>1547</v>
          </cell>
          <cell r="Q40">
            <v>1547</v>
          </cell>
          <cell r="R40">
            <v>1547</v>
          </cell>
          <cell r="S40">
            <v>1547</v>
          </cell>
          <cell r="T40">
            <v>1547</v>
          </cell>
          <cell r="U40">
            <v>1156</v>
          </cell>
          <cell r="V40">
            <v>1156</v>
          </cell>
          <cell r="W40">
            <v>1156</v>
          </cell>
          <cell r="X40">
            <v>0</v>
          </cell>
        </row>
        <row r="41">
          <cell r="A41"/>
          <cell r="N41"/>
          <cell r="O41" t="str">
            <v>Capacité Surfaces</v>
          </cell>
          <cell r="P41">
            <v>1140.8800000000001</v>
          </cell>
          <cell r="Q41">
            <v>1140.8800000000001</v>
          </cell>
          <cell r="R41">
            <v>1140.8800000000001</v>
          </cell>
          <cell r="S41">
            <v>1140.8800000000001</v>
          </cell>
          <cell r="T41">
            <v>1140.8800000000001</v>
          </cell>
          <cell r="U41">
            <v>1140.8800000000001</v>
          </cell>
          <cell r="V41">
            <v>1140.8800000000001</v>
          </cell>
          <cell r="W41">
            <v>1140.8800000000001</v>
          </cell>
          <cell r="X41">
            <v>0</v>
          </cell>
        </row>
        <row r="42">
          <cell r="A42"/>
          <cell r="N42"/>
          <cell r="O42" t="str">
            <v>QP utilisation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</row>
        <row r="43">
          <cell r="A43"/>
          <cell r="N43"/>
          <cell r="O43" t="str">
            <v>QP INT en pointe</v>
          </cell>
          <cell r="P43">
            <v>0.77</v>
          </cell>
          <cell r="Q43">
            <v>0.82</v>
          </cell>
          <cell r="R43">
            <v>0.82</v>
          </cell>
          <cell r="S43">
            <v>0.57999999999999996</v>
          </cell>
          <cell r="T43">
            <v>0.57999999999999996</v>
          </cell>
          <cell r="U43">
            <v>0.57999999999999996</v>
          </cell>
          <cell r="V43">
            <v>0.54</v>
          </cell>
          <cell r="W43">
            <v>0.54</v>
          </cell>
          <cell r="X43">
            <v>0.54</v>
          </cell>
        </row>
        <row r="44">
          <cell r="A44"/>
          <cell r="N44"/>
          <cell r="O44" t="str">
            <v>Capacité fictive Bloc</v>
          </cell>
          <cell r="P44">
            <v>1481.6623376623377</v>
          </cell>
          <cell r="Q44">
            <v>1391.3170731707319</v>
          </cell>
          <cell r="R44">
            <v>1391.3170731707319</v>
          </cell>
          <cell r="S44">
            <v>1967.0344827586209</v>
          </cell>
          <cell r="T44">
            <v>1967.0344827586209</v>
          </cell>
          <cell r="U44">
            <v>1967.0344827586209</v>
          </cell>
          <cell r="V44">
            <v>2112.7407407407409</v>
          </cell>
          <cell r="W44">
            <v>2112.7407407407409</v>
          </cell>
          <cell r="X44">
            <v>0</v>
          </cell>
        </row>
        <row r="45">
          <cell r="A45"/>
          <cell r="N45"/>
        </row>
        <row r="46">
          <cell r="A46"/>
          <cell r="N46" t="str">
            <v>EMB SCH</v>
          </cell>
          <cell r="O46" t="str">
            <v>Capacité Equipements</v>
          </cell>
          <cell r="P46">
            <v>459</v>
          </cell>
          <cell r="Q46">
            <v>459</v>
          </cell>
          <cell r="R46">
            <v>459</v>
          </cell>
          <cell r="S46">
            <v>459</v>
          </cell>
          <cell r="T46">
            <v>459</v>
          </cell>
          <cell r="U46">
            <v>612</v>
          </cell>
          <cell r="V46">
            <v>612</v>
          </cell>
          <cell r="W46">
            <v>612</v>
          </cell>
          <cell r="X46">
            <v>0</v>
          </cell>
        </row>
        <row r="47">
          <cell r="A47"/>
          <cell r="N47"/>
          <cell r="O47" t="str">
            <v>Capacité Surfaces</v>
          </cell>
          <cell r="P47">
            <v>583.80000000000007</v>
          </cell>
          <cell r="Q47">
            <v>583.80000000000007</v>
          </cell>
          <cell r="R47">
            <v>583.80000000000007</v>
          </cell>
          <cell r="S47">
            <v>583.80000000000007</v>
          </cell>
          <cell r="T47">
            <v>583.80000000000007</v>
          </cell>
          <cell r="U47">
            <v>583.80000000000007</v>
          </cell>
          <cell r="V47">
            <v>583.80000000000007</v>
          </cell>
          <cell r="W47">
            <v>583.80000000000007</v>
          </cell>
          <cell r="X47">
            <v>0</v>
          </cell>
        </row>
        <row r="48">
          <cell r="A48"/>
          <cell r="N48"/>
          <cell r="O48" t="str">
            <v>QP utilisation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</row>
        <row r="49">
          <cell r="A49"/>
          <cell r="N49"/>
          <cell r="O49" t="str">
            <v>QP SCH en pointe</v>
          </cell>
          <cell r="P49">
            <v>0.23</v>
          </cell>
          <cell r="Q49">
            <v>0.18</v>
          </cell>
          <cell r="R49">
            <v>0.18</v>
          </cell>
          <cell r="S49">
            <v>0.42</v>
          </cell>
          <cell r="T49">
            <v>0.42</v>
          </cell>
          <cell r="U49">
            <v>0.42</v>
          </cell>
          <cell r="V49">
            <v>0.45999999999999996</v>
          </cell>
          <cell r="W49">
            <v>0.45999999999999996</v>
          </cell>
          <cell r="X49">
            <v>0.45999999999999996</v>
          </cell>
        </row>
        <row r="50">
          <cell r="A50"/>
          <cell r="N50"/>
          <cell r="O50" t="str">
            <v>Capacité fictive Bloc</v>
          </cell>
          <cell r="P50">
            <v>1995.6521739130435</v>
          </cell>
          <cell r="Q50">
            <v>2550</v>
          </cell>
          <cell r="R50">
            <v>2550</v>
          </cell>
          <cell r="S50">
            <v>1092.8571428571429</v>
          </cell>
          <cell r="T50">
            <v>1092.8571428571429</v>
          </cell>
          <cell r="U50">
            <v>1457.1428571428571</v>
          </cell>
          <cell r="V50">
            <v>1330.4347826086957</v>
          </cell>
          <cell r="W50">
            <v>1330.4347826086957</v>
          </cell>
          <cell r="X50">
            <v>0</v>
          </cell>
        </row>
        <row r="51">
          <cell r="A51"/>
        </row>
        <row r="52">
          <cell r="A52"/>
          <cell r="N52" t="str">
            <v>EMB TOT</v>
          </cell>
          <cell r="O52" t="str">
            <v>Capacité Equipements</v>
          </cell>
          <cell r="P52">
            <v>2006</v>
          </cell>
          <cell r="Q52">
            <v>2006</v>
          </cell>
          <cell r="R52">
            <v>2006</v>
          </cell>
          <cell r="S52">
            <v>2006</v>
          </cell>
          <cell r="T52">
            <v>2006</v>
          </cell>
          <cell r="U52">
            <v>1768</v>
          </cell>
          <cell r="V52">
            <v>1768</v>
          </cell>
          <cell r="W52">
            <v>1768</v>
          </cell>
          <cell r="X52">
            <v>0</v>
          </cell>
        </row>
        <row r="53">
          <cell r="A53"/>
          <cell r="N53"/>
          <cell r="O53" t="str">
            <v>Capacité Surfaces</v>
          </cell>
          <cell r="P53">
            <v>1724.6800000000003</v>
          </cell>
          <cell r="Q53">
            <v>1724.6800000000003</v>
          </cell>
          <cell r="R53">
            <v>1724.6800000000003</v>
          </cell>
          <cell r="S53">
            <v>1724.6800000000003</v>
          </cell>
          <cell r="T53">
            <v>1724.6800000000003</v>
          </cell>
          <cell r="U53">
            <v>1724.6800000000003</v>
          </cell>
          <cell r="V53">
            <v>1724.6800000000003</v>
          </cell>
          <cell r="W53">
            <v>1724.6800000000003</v>
          </cell>
          <cell r="X53">
            <v>0</v>
          </cell>
        </row>
        <row r="54">
          <cell r="A54"/>
          <cell r="N54"/>
          <cell r="O54" t="str">
            <v>QP utilisation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</row>
        <row r="55">
          <cell r="A55"/>
          <cell r="N55"/>
          <cell r="O55" t="str">
            <v>Capacité fictive Bloc</v>
          </cell>
          <cell r="P55">
            <v>2006</v>
          </cell>
          <cell r="Q55">
            <v>2006</v>
          </cell>
          <cell r="R55">
            <v>2006</v>
          </cell>
          <cell r="S55">
            <v>2006</v>
          </cell>
          <cell r="T55">
            <v>2006</v>
          </cell>
          <cell r="U55">
            <v>1768</v>
          </cell>
          <cell r="V55">
            <v>1768</v>
          </cell>
          <cell r="W55">
            <v>1768</v>
          </cell>
          <cell r="X55">
            <v>0</v>
          </cell>
        </row>
        <row r="56">
          <cell r="A56"/>
        </row>
        <row r="57">
          <cell r="A57"/>
        </row>
        <row r="58">
          <cell r="A58"/>
          <cell r="N58" t="str">
            <v>Seuil d'alerte proposé</v>
          </cell>
          <cell r="O58" t="str">
            <v>INTER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x</v>
          </cell>
          <cell r="T58" t="str">
            <v>-</v>
          </cell>
          <cell r="U58" t="str">
            <v>x</v>
          </cell>
          <cell r="V58" t="str">
            <v>-</v>
          </cell>
          <cell r="W58" t="str">
            <v>x</v>
          </cell>
          <cell r="X58" t="str">
            <v>-</v>
          </cell>
        </row>
        <row r="59">
          <cell r="A59"/>
          <cell r="N59" t="str">
            <v>Seuil d'alerte proposé</v>
          </cell>
          <cell r="O59" t="str">
            <v>SCH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x</v>
          </cell>
          <cell r="T59" t="str">
            <v>-</v>
          </cell>
          <cell r="U59" t="str">
            <v>x</v>
          </cell>
          <cell r="V59" t="str">
            <v>-</v>
          </cell>
          <cell r="W59" t="str">
            <v>x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Global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1000</v>
          </cell>
          <cell r="T60" t="str">
            <v>-</v>
          </cell>
          <cell r="U60">
            <v>1000</v>
          </cell>
          <cell r="V60" t="str">
            <v>-</v>
          </cell>
          <cell r="W60">
            <v>1000</v>
          </cell>
          <cell r="X60" t="str">
            <v>-</v>
          </cell>
        </row>
        <row r="61">
          <cell r="A61"/>
        </row>
        <row r="62">
          <cell r="A62"/>
        </row>
        <row r="64">
          <cell r="A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</row>
        <row r="65">
          <cell r="A65" t="str">
            <v>Enregistrement</v>
          </cell>
        </row>
        <row r="66">
          <cell r="A66"/>
          <cell r="N66" t="str">
            <v>T3 - Enregistrement NET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 t="str">
            <v>Banques</v>
          </cell>
          <cell r="P67">
            <v>20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20</v>
          </cell>
          <cell r="V67">
            <v>20</v>
          </cell>
          <cell r="W67">
            <v>20</v>
          </cell>
          <cell r="X67">
            <v>20</v>
          </cell>
        </row>
        <row r="68">
          <cell r="A68"/>
          <cell r="N68"/>
          <cell r="O68" t="str">
            <v>DBA</v>
          </cell>
          <cell r="P68">
            <v>8</v>
          </cell>
          <cell r="Q68">
            <v>8</v>
          </cell>
          <cell r="R68">
            <v>8</v>
          </cell>
          <cell r="S68">
            <v>8</v>
          </cell>
          <cell r="T68">
            <v>8</v>
          </cell>
          <cell r="U68">
            <v>8</v>
          </cell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CUSS</v>
          </cell>
          <cell r="P69">
            <v>9</v>
          </cell>
          <cell r="Q69">
            <v>20</v>
          </cell>
          <cell r="R69">
            <v>20</v>
          </cell>
          <cell r="S69">
            <v>20</v>
          </cell>
          <cell r="T69">
            <v>20</v>
          </cell>
          <cell r="U69">
            <v>20</v>
          </cell>
          <cell r="V69">
            <v>20</v>
          </cell>
          <cell r="W69">
            <v>20</v>
          </cell>
          <cell r="X69">
            <v>20</v>
          </cell>
        </row>
        <row r="70">
          <cell r="A70"/>
          <cell r="N70" t="str">
            <v>Hall B</v>
          </cell>
          <cell r="O70" t="str">
            <v>Banques</v>
          </cell>
          <cell r="P70">
            <v>22</v>
          </cell>
          <cell r="Q70">
            <v>22</v>
          </cell>
          <cell r="R70">
            <v>22</v>
          </cell>
          <cell r="S70">
            <v>22</v>
          </cell>
          <cell r="T70">
            <v>22</v>
          </cell>
          <cell r="U70">
            <v>22</v>
          </cell>
          <cell r="V70">
            <v>22</v>
          </cell>
          <cell r="W70">
            <v>22</v>
          </cell>
          <cell r="X70">
            <v>22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CUSS</v>
          </cell>
          <cell r="P72">
            <v>0</v>
          </cell>
          <cell r="Q72">
            <v>10</v>
          </cell>
          <cell r="R72">
            <v>19</v>
          </cell>
          <cell r="S72">
            <v>19</v>
          </cell>
          <cell r="T72">
            <v>19</v>
          </cell>
          <cell r="U72">
            <v>19</v>
          </cell>
          <cell r="V72">
            <v>19</v>
          </cell>
          <cell r="W72">
            <v>19</v>
          </cell>
          <cell r="X72">
            <v>19</v>
          </cell>
        </row>
        <row r="73">
          <cell r="A73"/>
          <cell r="N73" t="str">
            <v>GLOBAL</v>
          </cell>
          <cell r="O73" t="str">
            <v>NB Banques</v>
          </cell>
          <cell r="P73">
            <v>42</v>
          </cell>
          <cell r="Q73">
            <v>42</v>
          </cell>
          <cell r="R73">
            <v>42</v>
          </cell>
          <cell r="S73">
            <v>42</v>
          </cell>
          <cell r="T73">
            <v>42</v>
          </cell>
          <cell r="U73">
            <v>42</v>
          </cell>
          <cell r="V73">
            <v>42</v>
          </cell>
          <cell r="W73">
            <v>42</v>
          </cell>
          <cell r="X73">
            <v>42</v>
          </cell>
        </row>
        <row r="74">
          <cell r="A74"/>
          <cell r="N74"/>
          <cell r="O74" t="str">
            <v>NB DBA</v>
          </cell>
          <cell r="P74">
            <v>8</v>
          </cell>
          <cell r="Q74">
            <v>8</v>
          </cell>
          <cell r="R74">
            <v>20</v>
          </cell>
          <cell r="S74">
            <v>20</v>
          </cell>
          <cell r="T74">
            <v>20</v>
          </cell>
          <cell r="U74">
            <v>20</v>
          </cell>
          <cell r="V74">
            <v>20</v>
          </cell>
          <cell r="W74">
            <v>20</v>
          </cell>
          <cell r="X74">
            <v>20</v>
          </cell>
        </row>
        <row r="75">
          <cell r="A75"/>
          <cell r="N75"/>
          <cell r="O75" t="str">
            <v>NB CUSS</v>
          </cell>
          <cell r="P75">
            <v>9</v>
          </cell>
          <cell r="Q75">
            <v>30</v>
          </cell>
          <cell r="R75">
            <v>39</v>
          </cell>
          <cell r="S75">
            <v>39</v>
          </cell>
          <cell r="T75">
            <v>39</v>
          </cell>
          <cell r="U75">
            <v>39</v>
          </cell>
          <cell r="V75">
            <v>39</v>
          </cell>
          <cell r="W75">
            <v>39</v>
          </cell>
          <cell r="X75">
            <v>39</v>
          </cell>
        </row>
        <row r="76">
          <cell r="A76"/>
          <cell r="N76"/>
          <cell r="O76"/>
        </row>
        <row r="77">
          <cell r="A77"/>
          <cell r="N77" t="str">
            <v>Débit</v>
          </cell>
          <cell r="P77">
            <v>30</v>
          </cell>
          <cell r="Q77">
            <v>30</v>
          </cell>
          <cell r="R77">
            <v>30</v>
          </cell>
          <cell r="S77">
            <v>30</v>
          </cell>
          <cell r="T77">
            <v>30</v>
          </cell>
          <cell r="U77">
            <v>30</v>
          </cell>
          <cell r="V77">
            <v>30</v>
          </cell>
          <cell r="W77">
            <v>30</v>
          </cell>
          <cell r="X77">
            <v>30</v>
          </cell>
        </row>
        <row r="78">
          <cell r="A78"/>
          <cell r="N78"/>
          <cell r="O78"/>
        </row>
        <row r="79">
          <cell r="A79"/>
          <cell r="N79" t="str">
            <v>Facteur déproductivité</v>
          </cell>
          <cell r="O79"/>
          <cell r="P79">
            <v>0.95</v>
          </cell>
          <cell r="Q79">
            <v>0.95</v>
          </cell>
          <cell r="R79">
            <v>0.95</v>
          </cell>
          <cell r="S79">
            <v>0.95</v>
          </cell>
          <cell r="T79">
            <v>0.95</v>
          </cell>
          <cell r="U79">
            <v>0.95</v>
          </cell>
          <cell r="V79">
            <v>0.95</v>
          </cell>
          <cell r="W79">
            <v>0.95</v>
          </cell>
          <cell r="X79">
            <v>0.95</v>
          </cell>
        </row>
        <row r="80">
          <cell r="A80"/>
          <cell r="N80"/>
          <cell r="O80"/>
        </row>
        <row r="81">
          <cell r="A81"/>
          <cell r="N81" t="str">
            <v>Débit Enregistrement</v>
          </cell>
          <cell r="O81"/>
          <cell r="P81">
            <v>1197</v>
          </cell>
          <cell r="Q81">
            <v>1197</v>
          </cell>
          <cell r="R81">
            <v>1197</v>
          </cell>
          <cell r="S81">
            <v>1197</v>
          </cell>
          <cell r="T81">
            <v>1197</v>
          </cell>
          <cell r="U81">
            <v>1197</v>
          </cell>
          <cell r="V81">
            <v>1197</v>
          </cell>
          <cell r="W81">
            <v>1197</v>
          </cell>
          <cell r="X81">
            <v>1197</v>
          </cell>
        </row>
        <row r="82">
          <cell r="A82"/>
        </row>
        <row r="83">
          <cell r="A83"/>
        </row>
        <row r="84">
          <cell r="A84"/>
        </row>
        <row r="85">
          <cell r="A85"/>
          <cell r="N85" t="str">
            <v>T3 - Surface Enregistrement</v>
          </cell>
          <cell r="O85"/>
          <cell r="P85" t="str">
            <v>W22</v>
          </cell>
          <cell r="Q85" t="str">
            <v>S23</v>
          </cell>
          <cell r="R85" t="str">
            <v>W23</v>
          </cell>
          <cell r="S85" t="str">
            <v>S24</v>
          </cell>
          <cell r="T85" t="str">
            <v>W24</v>
          </cell>
          <cell r="U85" t="str">
            <v>S25</v>
          </cell>
          <cell r="V85" t="str">
            <v>W25</v>
          </cell>
          <cell r="W85" t="str">
            <v>S26</v>
          </cell>
          <cell r="X85" t="str">
            <v>W26</v>
          </cell>
        </row>
        <row r="86">
          <cell r="A86"/>
          <cell r="N86" t="str">
            <v>Hall A</v>
          </cell>
          <cell r="O86"/>
          <cell r="P86">
            <v>480</v>
          </cell>
          <cell r="Q86">
            <v>480</v>
          </cell>
          <cell r="R86">
            <v>480</v>
          </cell>
          <cell r="S86">
            <v>480</v>
          </cell>
          <cell r="T86">
            <v>480</v>
          </cell>
          <cell r="U86">
            <v>480</v>
          </cell>
          <cell r="V86">
            <v>480</v>
          </cell>
          <cell r="W86">
            <v>480</v>
          </cell>
          <cell r="X86">
            <v>480</v>
          </cell>
        </row>
        <row r="87">
          <cell r="A87"/>
          <cell r="N87" t="str">
            <v>Hall B</v>
          </cell>
          <cell r="O87"/>
          <cell r="P87">
            <v>460</v>
          </cell>
          <cell r="Q87">
            <v>460</v>
          </cell>
          <cell r="R87">
            <v>460</v>
          </cell>
          <cell r="S87">
            <v>460</v>
          </cell>
          <cell r="T87">
            <v>460</v>
          </cell>
          <cell r="U87">
            <v>460</v>
          </cell>
          <cell r="V87">
            <v>460</v>
          </cell>
          <cell r="W87">
            <v>460</v>
          </cell>
          <cell r="X87">
            <v>460</v>
          </cell>
        </row>
        <row r="88">
          <cell r="A88"/>
          <cell r="N88" t="str">
            <v>SURFACE GLOBAL</v>
          </cell>
          <cell r="O88"/>
          <cell r="P88">
            <v>940</v>
          </cell>
          <cell r="Q88">
            <v>940</v>
          </cell>
          <cell r="R88">
            <v>940</v>
          </cell>
          <cell r="S88">
            <v>940</v>
          </cell>
          <cell r="T88">
            <v>940</v>
          </cell>
          <cell r="U88">
            <v>940</v>
          </cell>
          <cell r="V88">
            <v>940</v>
          </cell>
          <cell r="W88">
            <v>940</v>
          </cell>
          <cell r="X88">
            <v>940</v>
          </cell>
        </row>
        <row r="89">
          <cell r="A89"/>
          <cell r="N89"/>
          <cell r="O89"/>
        </row>
        <row r="90">
          <cell r="A90"/>
          <cell r="N90" t="str">
            <v>Temps d'attente maximum (min)</v>
          </cell>
          <cell r="O90"/>
          <cell r="P90">
            <v>15</v>
          </cell>
          <cell r="Q90">
            <v>15</v>
          </cell>
          <cell r="R90">
            <v>15</v>
          </cell>
          <cell r="S90">
            <v>15</v>
          </cell>
          <cell r="T90">
            <v>15</v>
          </cell>
          <cell r="U90">
            <v>15</v>
          </cell>
          <cell r="V90">
            <v>15</v>
          </cell>
          <cell r="W90">
            <v>15</v>
          </cell>
          <cell r="X90">
            <v>15</v>
          </cell>
        </row>
        <row r="91">
          <cell r="A91"/>
          <cell r="N91" t="str">
            <v>Standard IATA C (m2/PAX)</v>
          </cell>
          <cell r="O91"/>
          <cell r="P91">
            <v>1.4</v>
          </cell>
          <cell r="Q91">
            <v>1.4</v>
          </cell>
          <cell r="R91">
            <v>1.4</v>
          </cell>
          <cell r="S91">
            <v>1.4</v>
          </cell>
          <cell r="T91">
            <v>1.4</v>
          </cell>
          <cell r="U91">
            <v>1.4</v>
          </cell>
          <cell r="V91">
            <v>1.4</v>
          </cell>
          <cell r="W91">
            <v>1.4</v>
          </cell>
          <cell r="X91">
            <v>1.4</v>
          </cell>
        </row>
        <row r="92">
          <cell r="A92"/>
          <cell r="N92"/>
          <cell r="O92"/>
        </row>
        <row r="93">
          <cell r="A93"/>
          <cell r="N93" t="str">
            <v>Attente Enregistrement</v>
          </cell>
          <cell r="O93"/>
          <cell r="P93">
            <v>2685.7142857142858</v>
          </cell>
          <cell r="Q93">
            <v>2685.7142857142858</v>
          </cell>
          <cell r="R93">
            <v>2685.7142857142858</v>
          </cell>
          <cell r="S93">
            <v>2685.7142857142858</v>
          </cell>
          <cell r="T93">
            <v>2685.7142857142858</v>
          </cell>
          <cell r="U93">
            <v>2685.7142857142858</v>
          </cell>
          <cell r="V93">
            <v>2685.7142857142858</v>
          </cell>
          <cell r="W93">
            <v>2685.7142857142858</v>
          </cell>
          <cell r="X93">
            <v>2685.7142857142858</v>
          </cell>
        </row>
        <row r="94">
          <cell r="A94"/>
        </row>
        <row r="95">
          <cell r="A95"/>
        </row>
        <row r="97">
          <cell r="A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 t="str">
            <v>Tri Bagage</v>
          </cell>
        </row>
        <row r="99">
          <cell r="A99"/>
          <cell r="O99" t="str">
            <v>T3 - PFT NET</v>
          </cell>
          <cell r="P99" t="str">
            <v>W22</v>
          </cell>
          <cell r="Q99" t="str">
            <v>S23</v>
          </cell>
          <cell r="R99" t="str">
            <v>W23</v>
          </cell>
          <cell r="S99" t="str">
            <v>S24</v>
          </cell>
          <cell r="T99" t="str">
            <v>W24</v>
          </cell>
          <cell r="U99" t="str">
            <v>S25</v>
          </cell>
          <cell r="V99" t="str">
            <v>W25</v>
          </cell>
          <cell r="W99" t="str">
            <v>S26</v>
          </cell>
          <cell r="X99" t="str">
            <v>W26</v>
          </cell>
        </row>
        <row r="100">
          <cell r="A100"/>
          <cell r="O100" t="str">
            <v>Hall A</v>
          </cell>
          <cell r="P100">
            <v>20</v>
          </cell>
          <cell r="Q100">
            <v>20</v>
          </cell>
          <cell r="R100">
            <v>20</v>
          </cell>
          <cell r="S100">
            <v>20</v>
          </cell>
          <cell r="T100"/>
          <cell r="U100"/>
          <cell r="V100"/>
          <cell r="W100"/>
          <cell r="X100"/>
        </row>
        <row r="101">
          <cell r="A101"/>
          <cell r="O101" t="str">
            <v>Hall B</v>
          </cell>
          <cell r="P101">
            <v>28</v>
          </cell>
          <cell r="Q101">
            <v>28</v>
          </cell>
          <cell r="R101">
            <v>28</v>
          </cell>
          <cell r="S101">
            <v>28</v>
          </cell>
          <cell r="T101"/>
          <cell r="U101"/>
          <cell r="V101"/>
          <cell r="W101"/>
          <cell r="X101"/>
        </row>
        <row r="102">
          <cell r="A102"/>
          <cell r="O102" t="str">
            <v>Total</v>
          </cell>
          <cell r="P102">
            <v>48</v>
          </cell>
          <cell r="Q102">
            <v>48</v>
          </cell>
          <cell r="R102">
            <v>48</v>
          </cell>
          <cell r="S102">
            <v>48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/>
        </row>
        <row r="104">
          <cell r="A104"/>
          <cell r="O104" t="str">
            <v>PFT / Banques</v>
          </cell>
          <cell r="P104" t="str">
            <v>W22</v>
          </cell>
          <cell r="Q104" t="str">
            <v>S23</v>
          </cell>
          <cell r="R104" t="str">
            <v>W23</v>
          </cell>
          <cell r="S104" t="str">
            <v>S24</v>
          </cell>
          <cell r="T104" t="str">
            <v>W24</v>
          </cell>
          <cell r="U104" t="str">
            <v>S25</v>
          </cell>
          <cell r="V104" t="str">
            <v>W25</v>
          </cell>
          <cell r="W104" t="str">
            <v>S26</v>
          </cell>
          <cell r="X104" t="str">
            <v>W26</v>
          </cell>
        </row>
        <row r="105">
          <cell r="A105"/>
          <cell r="O105" t="str">
            <v>Hall A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/>
          <cell r="O106" t="str">
            <v>Hall B</v>
          </cell>
          <cell r="P106">
            <v>1.2727272727272727</v>
          </cell>
          <cell r="Q106">
            <v>1.2727272727272727</v>
          </cell>
          <cell r="R106">
            <v>1.2727272727272727</v>
          </cell>
          <cell r="S106">
            <v>1.2727272727272727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/>
          <cell r="O107" t="str">
            <v>Global</v>
          </cell>
          <cell r="P107">
            <v>1.1428571428571428</v>
          </cell>
          <cell r="Q107">
            <v>1.1428571428571428</v>
          </cell>
          <cell r="R107">
            <v>1.1428571428571428</v>
          </cell>
          <cell r="S107">
            <v>1.1428571428571428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Frontières DEP</v>
          </cell>
          <cell r="H111" t="str">
            <v>Sans EES</v>
          </cell>
          <cell r="I111"/>
          <cell r="J111"/>
          <cell r="K111"/>
          <cell r="L111"/>
        </row>
        <row r="112">
          <cell r="A112"/>
          <cell r="H112" t="str">
            <v>QP Passeports</v>
          </cell>
          <cell r="I112"/>
          <cell r="J112" t="str">
            <v>T3 DEP</v>
          </cell>
          <cell r="K112" t="str">
            <v>Aubette</v>
          </cell>
          <cell r="L112" t="str">
            <v>Parafe</v>
          </cell>
          <cell r="M112"/>
          <cell r="N112"/>
          <cell r="O112" t="str">
            <v>T3 - PAF DEP</v>
          </cell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Z112"/>
        </row>
        <row r="113">
          <cell r="A113"/>
          <cell r="H113" t="str">
            <v>UE</v>
          </cell>
          <cell r="I113">
            <v>0.71</v>
          </cell>
          <cell r="J113" t="str">
            <v>Part modale</v>
          </cell>
          <cell r="K113"/>
          <cell r="L113"/>
          <cell r="N113"/>
          <cell r="Z113"/>
        </row>
        <row r="114">
          <cell r="A114"/>
          <cell r="H114" t="str">
            <v>RPT61</v>
          </cell>
          <cell r="I114">
            <v>0.23</v>
          </cell>
          <cell r="J114" t="str">
            <v>UE</v>
          </cell>
          <cell r="K114">
            <v>0.4</v>
          </cell>
          <cell r="L114">
            <v>0.6</v>
          </cell>
          <cell r="M114"/>
          <cell r="N114"/>
          <cell r="O114" t="str">
            <v>NB position aubette</v>
          </cell>
          <cell r="P114">
            <v>6</v>
          </cell>
          <cell r="Q114">
            <v>6</v>
          </cell>
          <cell r="R114">
            <v>6</v>
          </cell>
          <cell r="S114">
            <v>6</v>
          </cell>
          <cell r="T114">
            <v>6</v>
          </cell>
          <cell r="U114">
            <v>6</v>
          </cell>
          <cell r="V114">
            <v>6</v>
          </cell>
          <cell r="W114">
            <v>6</v>
          </cell>
          <cell r="X114">
            <v>6</v>
          </cell>
          <cell r="Z114"/>
        </row>
        <row r="115">
          <cell r="A115"/>
          <cell r="H115" t="str">
            <v>Autres TP</v>
          </cell>
          <cell r="I115">
            <v>6.0000000000000026E-2</v>
          </cell>
          <cell r="J115" t="str">
            <v>RPT61</v>
          </cell>
          <cell r="K115">
            <v>0.4</v>
          </cell>
          <cell r="L115">
            <v>0.6</v>
          </cell>
          <cell r="M115"/>
          <cell r="N115"/>
          <cell r="O115" t="str">
            <v>Débit unitaire</v>
          </cell>
          <cell r="P115">
            <v>106</v>
          </cell>
          <cell r="Q115">
            <v>112</v>
          </cell>
          <cell r="R115">
            <v>112</v>
          </cell>
          <cell r="S115">
            <v>112</v>
          </cell>
          <cell r="T115">
            <v>112</v>
          </cell>
          <cell r="U115">
            <v>112</v>
          </cell>
          <cell r="V115">
            <v>112</v>
          </cell>
          <cell r="W115">
            <v>113</v>
          </cell>
          <cell r="X115">
            <v>113</v>
          </cell>
          <cell r="Z115"/>
        </row>
        <row r="116">
          <cell r="A116"/>
          <cell r="I116"/>
          <cell r="J116" t="str">
            <v>Autres TP</v>
          </cell>
          <cell r="K116">
            <v>1</v>
          </cell>
          <cell r="L116"/>
          <cell r="M116"/>
          <cell r="N116"/>
          <cell r="O116" t="str">
            <v>Débit Aubette</v>
          </cell>
          <cell r="P116">
            <v>636</v>
          </cell>
          <cell r="Q116">
            <v>672</v>
          </cell>
          <cell r="R116">
            <v>672</v>
          </cell>
          <cell r="S116">
            <v>672</v>
          </cell>
          <cell r="T116">
            <v>672</v>
          </cell>
          <cell r="U116">
            <v>672</v>
          </cell>
          <cell r="V116">
            <v>672</v>
          </cell>
          <cell r="W116">
            <v>678</v>
          </cell>
          <cell r="X116">
            <v>678</v>
          </cell>
          <cell r="Z116"/>
        </row>
        <row r="117">
          <cell r="A117"/>
          <cell r="J117" t="str">
            <v>TTU</v>
          </cell>
          <cell r="K117"/>
          <cell r="L117"/>
          <cell r="P117"/>
          <cell r="Q117"/>
          <cell r="R117"/>
          <cell r="S117"/>
          <cell r="T117"/>
          <cell r="U117"/>
          <cell r="V117"/>
          <cell r="W117"/>
          <cell r="X117"/>
        </row>
        <row r="118">
          <cell r="A118"/>
          <cell r="J118" t="str">
            <v>UE</v>
          </cell>
          <cell r="K118">
            <v>28</v>
          </cell>
          <cell r="L118">
            <v>31</v>
          </cell>
          <cell r="M118"/>
          <cell r="O118" t="str">
            <v>NB Parafes</v>
          </cell>
          <cell r="P118">
            <v>3</v>
          </cell>
          <cell r="Q118">
            <v>3</v>
          </cell>
          <cell r="R118">
            <v>5</v>
          </cell>
          <cell r="S118">
            <v>5</v>
          </cell>
          <cell r="T118">
            <v>6</v>
          </cell>
          <cell r="U118">
            <v>6</v>
          </cell>
          <cell r="V118">
            <v>6</v>
          </cell>
          <cell r="W118">
            <v>6</v>
          </cell>
          <cell r="X118">
            <v>6</v>
          </cell>
        </row>
        <row r="119">
          <cell r="A119"/>
          <cell r="J119" t="str">
            <v>RPT61</v>
          </cell>
          <cell r="K119">
            <v>39.5</v>
          </cell>
          <cell r="L119">
            <v>31</v>
          </cell>
          <cell r="O119" t="str">
            <v>Débit unitaire</v>
          </cell>
          <cell r="P119">
            <v>116</v>
          </cell>
          <cell r="Q119">
            <v>116</v>
          </cell>
          <cell r="R119">
            <v>116</v>
          </cell>
          <cell r="S119">
            <v>116</v>
          </cell>
          <cell r="T119">
            <v>116</v>
          </cell>
          <cell r="U119">
            <v>116</v>
          </cell>
          <cell r="V119">
            <v>116</v>
          </cell>
          <cell r="W119">
            <v>116</v>
          </cell>
          <cell r="X119">
            <v>116</v>
          </cell>
        </row>
        <row r="120">
          <cell r="A120"/>
          <cell r="J120" t="str">
            <v>Autres TP</v>
          </cell>
          <cell r="K120">
            <v>39.5</v>
          </cell>
          <cell r="L120"/>
          <cell r="M120"/>
          <cell r="O120" t="str">
            <v>Débit Parafe</v>
          </cell>
          <cell r="P120">
            <v>348</v>
          </cell>
          <cell r="Q120">
            <v>348</v>
          </cell>
          <cell r="R120">
            <v>580</v>
          </cell>
          <cell r="S120">
            <v>580</v>
          </cell>
          <cell r="T120">
            <v>696</v>
          </cell>
          <cell r="U120">
            <v>696</v>
          </cell>
          <cell r="V120">
            <v>696</v>
          </cell>
          <cell r="W120">
            <v>696</v>
          </cell>
          <cell r="X120">
            <v>696</v>
          </cell>
        </row>
        <row r="121">
          <cell r="A121"/>
          <cell r="J121" t="str">
            <v>Résultante unitaire</v>
          </cell>
          <cell r="K121"/>
          <cell r="L121"/>
          <cell r="P121"/>
          <cell r="Q121"/>
          <cell r="R121"/>
          <cell r="S121"/>
          <cell r="T121"/>
          <cell r="U121"/>
          <cell r="V121"/>
          <cell r="W121"/>
          <cell r="X121"/>
        </row>
        <row r="122">
          <cell r="A122"/>
          <cell r="J122" t="str">
            <v>PM</v>
          </cell>
          <cell r="K122">
            <v>0.43600000000000005</v>
          </cell>
          <cell r="L122">
            <v>0.56400000000000006</v>
          </cell>
          <cell r="M122"/>
          <cell r="O122" t="str">
            <v>Débit PAF DEP</v>
          </cell>
          <cell r="P122">
            <v>984</v>
          </cell>
          <cell r="Q122">
            <v>1020</v>
          </cell>
          <cell r="R122">
            <v>1252</v>
          </cell>
          <cell r="S122">
            <v>1252</v>
          </cell>
          <cell r="T122">
            <v>1368</v>
          </cell>
          <cell r="U122">
            <v>1368</v>
          </cell>
          <cell r="V122">
            <v>1368</v>
          </cell>
          <cell r="W122">
            <v>1374</v>
          </cell>
          <cell r="X122">
            <v>1374</v>
          </cell>
        </row>
        <row r="123">
          <cell r="A123"/>
          <cell r="J123" t="str">
            <v>TTU</v>
          </cell>
          <cell r="K123">
            <v>32.0091743119266</v>
          </cell>
          <cell r="L123">
            <v>31</v>
          </cell>
          <cell r="M123"/>
          <cell r="P123"/>
          <cell r="Q123"/>
          <cell r="R123"/>
          <cell r="S123"/>
          <cell r="T123"/>
          <cell r="U123"/>
          <cell r="V123"/>
          <cell r="W123"/>
          <cell r="X123"/>
        </row>
        <row r="124">
          <cell r="A124"/>
          <cell r="J124" t="str">
            <v xml:space="preserve">Débit unitaire </v>
          </cell>
          <cell r="K124">
            <v>112.46775580395531</v>
          </cell>
          <cell r="L124">
            <v>116.12903225806451</v>
          </cell>
          <cell r="M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J125"/>
          <cell r="K125"/>
          <cell r="L125"/>
          <cell r="M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J126"/>
          <cell r="K126"/>
          <cell r="L126"/>
          <cell r="M126"/>
          <cell r="P126"/>
          <cell r="Q126"/>
          <cell r="R126"/>
          <cell r="S126"/>
          <cell r="T126"/>
          <cell r="U126"/>
          <cell r="V126"/>
          <cell r="W126"/>
          <cell r="X126"/>
        </row>
        <row r="127">
          <cell r="A127"/>
          <cell r="H127" t="str">
            <v>Avec EES</v>
          </cell>
          <cell r="I127"/>
          <cell r="J127"/>
          <cell r="K127"/>
          <cell r="L127"/>
          <cell r="O127" t="str">
            <v>T3 - Surface PAF DEP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H128" t="str">
            <v>QP Passeports</v>
          </cell>
          <cell r="I128"/>
          <cell r="J128" t="str">
            <v>T3 DEP</v>
          </cell>
          <cell r="K128" t="str">
            <v>Aubette</v>
          </cell>
          <cell r="L128" t="str">
            <v>Parafe</v>
          </cell>
          <cell r="M128"/>
          <cell r="O128"/>
        </row>
        <row r="129">
          <cell r="A129"/>
          <cell r="H129" t="str">
            <v>UE</v>
          </cell>
          <cell r="I129">
            <v>0.71</v>
          </cell>
          <cell r="J129" t="str">
            <v>Part modale</v>
          </cell>
          <cell r="K129"/>
          <cell r="L129"/>
          <cell r="O129" t="str">
            <v>SURFACE GLOBAL</v>
          </cell>
          <cell r="P129">
            <v>275</v>
          </cell>
          <cell r="Q129">
            <v>275</v>
          </cell>
          <cell r="R129">
            <v>275</v>
          </cell>
          <cell r="S129">
            <v>275</v>
          </cell>
          <cell r="T129">
            <v>285</v>
          </cell>
          <cell r="U129">
            <v>285</v>
          </cell>
          <cell r="V129">
            <v>285</v>
          </cell>
          <cell r="W129">
            <v>285</v>
          </cell>
          <cell r="X129">
            <v>285</v>
          </cell>
        </row>
        <row r="130">
          <cell r="A130"/>
          <cell r="H130" t="str">
            <v>RPT61</v>
          </cell>
          <cell r="I130">
            <v>0.23</v>
          </cell>
          <cell r="J130" t="str">
            <v>UE</v>
          </cell>
          <cell r="K130">
            <v>0.4</v>
          </cell>
          <cell r="L130">
            <v>0.6</v>
          </cell>
          <cell r="M130"/>
        </row>
        <row r="131">
          <cell r="A131"/>
          <cell r="H131" t="str">
            <v>Autres TP</v>
          </cell>
          <cell r="I131">
            <v>6.0000000000000026E-2</v>
          </cell>
          <cell r="J131" t="str">
            <v>RPT61</v>
          </cell>
          <cell r="K131">
            <v>0.4</v>
          </cell>
          <cell r="L131">
            <v>0.6</v>
          </cell>
          <cell r="M131"/>
          <cell r="O131" t="str">
            <v>Temps d'attente maximum (min)</v>
          </cell>
          <cell r="P131">
            <v>20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20</v>
          </cell>
          <cell r="V131">
            <v>20</v>
          </cell>
          <cell r="W131">
            <v>20</v>
          </cell>
          <cell r="X131">
            <v>20</v>
          </cell>
        </row>
        <row r="132">
          <cell r="A132"/>
          <cell r="I132"/>
          <cell r="J132" t="str">
            <v>Autres TP</v>
          </cell>
          <cell r="K132">
            <v>1</v>
          </cell>
          <cell r="L132"/>
          <cell r="M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J133" t="str">
            <v>TTU</v>
          </cell>
          <cell r="K133"/>
          <cell r="L133"/>
        </row>
        <row r="134">
          <cell r="A134"/>
          <cell r="J134" t="str">
            <v>UE</v>
          </cell>
          <cell r="K134">
            <v>28</v>
          </cell>
          <cell r="L134">
            <v>31</v>
          </cell>
          <cell r="M134"/>
          <cell r="O134" t="str">
            <v>Attente PAF DEP</v>
          </cell>
          <cell r="P134">
            <v>825</v>
          </cell>
          <cell r="Q134">
            <v>825</v>
          </cell>
          <cell r="R134">
            <v>825</v>
          </cell>
          <cell r="S134">
            <v>825</v>
          </cell>
          <cell r="T134">
            <v>855</v>
          </cell>
          <cell r="U134">
            <v>855</v>
          </cell>
          <cell r="V134">
            <v>855</v>
          </cell>
          <cell r="W134">
            <v>855</v>
          </cell>
          <cell r="X134">
            <v>855</v>
          </cell>
        </row>
        <row r="135">
          <cell r="A135"/>
          <cell r="J135" t="str">
            <v>RPT61</v>
          </cell>
          <cell r="K135">
            <v>39</v>
          </cell>
          <cell r="L135">
            <v>31</v>
          </cell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J136" t="str">
            <v>Autres TP</v>
          </cell>
          <cell r="K136">
            <v>39</v>
          </cell>
          <cell r="L136"/>
          <cell r="M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J137" t="str">
            <v>Résultante unitaire</v>
          </cell>
          <cell r="K137"/>
          <cell r="L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8">
          <cell r="A138"/>
          <cell r="J138" t="str">
            <v>PM</v>
          </cell>
          <cell r="K138">
            <v>0.43600000000000005</v>
          </cell>
          <cell r="L138">
            <v>0.56400000000000006</v>
          </cell>
          <cell r="M138"/>
          <cell r="P138"/>
          <cell r="Q138"/>
          <cell r="R138"/>
          <cell r="S138"/>
          <cell r="T138"/>
          <cell r="U138"/>
          <cell r="V138"/>
          <cell r="W138"/>
          <cell r="X138"/>
        </row>
        <row r="139">
          <cell r="A139"/>
          <cell r="J139" t="str">
            <v>TTU</v>
          </cell>
          <cell r="K139">
            <v>31.834862385321099</v>
          </cell>
          <cell r="L139">
            <v>31</v>
          </cell>
          <cell r="M139"/>
          <cell r="P139"/>
          <cell r="Q139"/>
          <cell r="R139"/>
          <cell r="S139"/>
          <cell r="T139"/>
          <cell r="U139"/>
          <cell r="V139"/>
          <cell r="W139"/>
          <cell r="X139"/>
        </row>
        <row r="140">
          <cell r="A140"/>
          <cell r="J140" t="str">
            <v xml:space="preserve">Débit unitaire </v>
          </cell>
          <cell r="K140">
            <v>113.08357348703171</v>
          </cell>
          <cell r="L140">
            <v>116.12903225806451</v>
          </cell>
          <cell r="M140"/>
          <cell r="P140"/>
          <cell r="Q140"/>
          <cell r="R140"/>
          <cell r="S140"/>
          <cell r="T140"/>
          <cell r="U140"/>
          <cell r="V140"/>
          <cell r="W140"/>
          <cell r="X140"/>
        </row>
        <row r="141">
          <cell r="A141"/>
          <cell r="J141"/>
          <cell r="K141"/>
          <cell r="L141"/>
          <cell r="M141"/>
          <cell r="P141"/>
          <cell r="Q141"/>
          <cell r="R141"/>
          <cell r="S141"/>
          <cell r="T141"/>
          <cell r="U141"/>
          <cell r="V141"/>
          <cell r="W141"/>
          <cell r="X141"/>
        </row>
        <row r="142">
          <cell r="A142"/>
          <cell r="J142"/>
          <cell r="K142"/>
          <cell r="L142"/>
          <cell r="M142"/>
          <cell r="P142"/>
          <cell r="Q142"/>
          <cell r="R142"/>
          <cell r="S142"/>
          <cell r="T142"/>
          <cell r="U142"/>
          <cell r="V142"/>
          <cell r="W142"/>
          <cell r="X142"/>
        </row>
        <row r="143">
          <cell r="A143"/>
          <cell r="J143"/>
          <cell r="K143"/>
          <cell r="L143"/>
          <cell r="M143"/>
          <cell r="P143"/>
          <cell r="Q143"/>
          <cell r="R143"/>
          <cell r="S143"/>
          <cell r="T143"/>
          <cell r="U143"/>
          <cell r="V143"/>
          <cell r="W143"/>
          <cell r="X143"/>
        </row>
        <row r="144">
          <cell r="A144"/>
          <cell r="I144"/>
          <cell r="J144"/>
          <cell r="K144"/>
          <cell r="L144"/>
          <cell r="M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PIF</v>
          </cell>
        </row>
        <row r="148">
          <cell r="A148"/>
          <cell r="H148"/>
          <cell r="I148"/>
          <cell r="O148" t="str">
            <v>T3 - PIF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Y148"/>
        </row>
        <row r="149">
          <cell r="A149"/>
          <cell r="I149"/>
          <cell r="J149"/>
          <cell r="R149"/>
          <cell r="S149"/>
          <cell r="T149"/>
          <cell r="U149"/>
          <cell r="V149"/>
          <cell r="W149"/>
          <cell r="X149"/>
          <cell r="Y149"/>
        </row>
        <row r="150">
          <cell r="A150"/>
          <cell r="I150"/>
          <cell r="J150"/>
          <cell r="O150" t="str">
            <v>NB LAM courtes EDSC</v>
          </cell>
          <cell r="P150"/>
          <cell r="Q150"/>
          <cell r="R150"/>
          <cell r="S150"/>
          <cell r="T150"/>
          <cell r="U150"/>
          <cell r="V150"/>
          <cell r="W150">
            <v>1</v>
          </cell>
          <cell r="X150"/>
          <cell r="Y150"/>
        </row>
        <row r="151">
          <cell r="A151"/>
          <cell r="I151"/>
          <cell r="J151"/>
          <cell r="O151" t="str">
            <v>Débit LAM</v>
          </cell>
          <cell r="R151"/>
          <cell r="S151"/>
          <cell r="T151"/>
          <cell r="U151"/>
          <cell r="V151"/>
          <cell r="W151">
            <v>200</v>
          </cell>
          <cell r="X151"/>
          <cell r="Y151"/>
        </row>
        <row r="152">
          <cell r="A152"/>
          <cell r="I152"/>
          <cell r="J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NB STD</v>
          </cell>
          <cell r="P153">
            <v>9</v>
          </cell>
          <cell r="Q153">
            <v>9</v>
          </cell>
          <cell r="R153">
            <v>9</v>
          </cell>
          <cell r="S153">
            <v>9</v>
          </cell>
          <cell r="T153">
            <v>9</v>
          </cell>
          <cell r="U153">
            <v>9</v>
          </cell>
          <cell r="V153">
            <v>9</v>
          </cell>
          <cell r="W153">
            <v>7</v>
          </cell>
          <cell r="X153">
            <v>9</v>
          </cell>
          <cell r="Y153"/>
        </row>
        <row r="154">
          <cell r="A154"/>
          <cell r="I154"/>
          <cell r="J154"/>
          <cell r="O154" t="str">
            <v>Débit STD</v>
          </cell>
          <cell r="P154">
            <v>140</v>
          </cell>
          <cell r="Q154">
            <v>140</v>
          </cell>
          <cell r="R154">
            <v>140</v>
          </cell>
          <cell r="S154">
            <v>140</v>
          </cell>
          <cell r="T154">
            <v>140</v>
          </cell>
          <cell r="U154">
            <v>140</v>
          </cell>
          <cell r="V154">
            <v>140</v>
          </cell>
          <cell r="W154">
            <v>140</v>
          </cell>
          <cell r="X154">
            <v>140</v>
          </cell>
          <cell r="Y154"/>
        </row>
        <row r="155">
          <cell r="A155"/>
          <cell r="I155"/>
          <cell r="J155"/>
          <cell r="R155"/>
          <cell r="S155"/>
          <cell r="T155"/>
          <cell r="U155"/>
          <cell r="V155"/>
          <cell r="W155"/>
          <cell r="X155"/>
          <cell r="Y155"/>
        </row>
        <row r="156">
          <cell r="A156"/>
          <cell r="I156"/>
          <cell r="J156"/>
          <cell r="O156" t="str">
            <v>NB LAM X-Shape EDSC</v>
          </cell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</row>
        <row r="157">
          <cell r="A157"/>
          <cell r="I157"/>
          <cell r="J157"/>
          <cell r="O157" t="str">
            <v>Débit STD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Débit PIF</v>
          </cell>
          <cell r="P159">
            <v>1260</v>
          </cell>
          <cell r="Q159">
            <v>1260</v>
          </cell>
          <cell r="R159">
            <v>1260</v>
          </cell>
          <cell r="S159">
            <v>1260</v>
          </cell>
          <cell r="T159">
            <v>1260</v>
          </cell>
          <cell r="U159">
            <v>1260</v>
          </cell>
          <cell r="V159">
            <v>1260</v>
          </cell>
          <cell r="W159">
            <v>1180</v>
          </cell>
          <cell r="X159">
            <v>1260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</row>
        <row r="162">
          <cell r="A162"/>
          <cell r="Y162"/>
        </row>
        <row r="163">
          <cell r="A163"/>
          <cell r="O163" t="str">
            <v>T3 - Surface PIF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  <cell r="Y163"/>
        </row>
        <row r="164">
          <cell r="A164"/>
          <cell r="O164" t="str">
            <v>Hall A</v>
          </cell>
          <cell r="P164">
            <v>77</v>
          </cell>
          <cell r="Q164">
            <v>77</v>
          </cell>
          <cell r="R164">
            <v>77</v>
          </cell>
          <cell r="S164">
            <v>77</v>
          </cell>
          <cell r="T164">
            <v>77</v>
          </cell>
          <cell r="U164">
            <v>77</v>
          </cell>
          <cell r="V164">
            <v>77</v>
          </cell>
          <cell r="W164">
            <v>77</v>
          </cell>
          <cell r="X164">
            <v>77</v>
          </cell>
          <cell r="Y164"/>
        </row>
        <row r="165">
          <cell r="A165"/>
          <cell r="O165" t="str">
            <v>Hall B</v>
          </cell>
          <cell r="P165">
            <v>223</v>
          </cell>
          <cell r="Q165">
            <v>223</v>
          </cell>
          <cell r="R165">
            <v>223</v>
          </cell>
          <cell r="S165">
            <v>223</v>
          </cell>
          <cell r="T165">
            <v>223</v>
          </cell>
          <cell r="U165">
            <v>223</v>
          </cell>
          <cell r="V165">
            <v>223</v>
          </cell>
          <cell r="W165">
            <v>223</v>
          </cell>
          <cell r="X165">
            <v>223</v>
          </cell>
          <cell r="Y165"/>
        </row>
        <row r="166">
          <cell r="A166"/>
          <cell r="O166" t="str">
            <v>SURFACE GLOBAL</v>
          </cell>
          <cell r="P166">
            <v>300</v>
          </cell>
          <cell r="Q166">
            <v>300</v>
          </cell>
          <cell r="R166">
            <v>300</v>
          </cell>
          <cell r="S166">
            <v>300</v>
          </cell>
          <cell r="T166">
            <v>300</v>
          </cell>
          <cell r="U166">
            <v>300</v>
          </cell>
          <cell r="V166">
            <v>300</v>
          </cell>
          <cell r="W166">
            <v>300</v>
          </cell>
          <cell r="X166">
            <v>300</v>
          </cell>
          <cell r="Y166"/>
        </row>
        <row r="167">
          <cell r="A167"/>
          <cell r="Y167"/>
        </row>
        <row r="168">
          <cell r="A168"/>
          <cell r="O168" t="str">
            <v>Temps d'attente maximum (min)</v>
          </cell>
          <cell r="P168">
            <v>10</v>
          </cell>
          <cell r="Q168">
            <v>10</v>
          </cell>
          <cell r="R168">
            <v>10</v>
          </cell>
          <cell r="S168">
            <v>10</v>
          </cell>
          <cell r="T168">
            <v>10</v>
          </cell>
          <cell r="U168">
            <v>10</v>
          </cell>
          <cell r="V168">
            <v>10</v>
          </cell>
          <cell r="W168">
            <v>10</v>
          </cell>
          <cell r="X168">
            <v>10</v>
          </cell>
          <cell r="Y168"/>
        </row>
        <row r="169">
          <cell r="A169"/>
          <cell r="O169" t="str">
            <v>Standard IATA C (m2/PAX)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/>
        </row>
        <row r="170">
          <cell r="A170"/>
          <cell r="Y170"/>
        </row>
        <row r="171">
          <cell r="A171"/>
          <cell r="O171" t="str">
            <v>Attente PIF - INTER</v>
          </cell>
          <cell r="P171">
            <v>1800</v>
          </cell>
          <cell r="Q171">
            <v>1800</v>
          </cell>
          <cell r="R171">
            <v>1800</v>
          </cell>
          <cell r="S171">
            <v>1800</v>
          </cell>
          <cell r="T171">
            <v>1800</v>
          </cell>
          <cell r="U171">
            <v>1800</v>
          </cell>
          <cell r="V171">
            <v>1800</v>
          </cell>
          <cell r="W171">
            <v>1800</v>
          </cell>
          <cell r="X171">
            <v>1800</v>
          </cell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</row>
        <row r="178">
          <cell r="A178" t="str">
            <v>Embarquement</v>
          </cell>
        </row>
        <row r="179">
          <cell r="A179"/>
        </row>
        <row r="180">
          <cell r="A180"/>
          <cell r="N180" t="str">
            <v>T3 - Circuits embarquements NET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</row>
        <row r="181">
          <cell r="A181"/>
          <cell r="N181" t="str">
            <v>T3 - INTER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</row>
        <row r="182">
          <cell r="A182"/>
          <cell r="N182"/>
          <cell r="O182" t="str">
            <v>C</v>
          </cell>
          <cell r="P182">
            <v>3</v>
          </cell>
          <cell r="Q182">
            <v>3</v>
          </cell>
          <cell r="R182">
            <v>3</v>
          </cell>
          <cell r="S182">
            <v>3</v>
          </cell>
          <cell r="T182">
            <v>3</v>
          </cell>
          <cell r="U182">
            <v>4</v>
          </cell>
          <cell r="V182">
            <v>4</v>
          </cell>
          <cell r="W182">
            <v>4</v>
          </cell>
          <cell r="X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</row>
        <row r="184">
          <cell r="A184"/>
          <cell r="N184"/>
          <cell r="O184" t="str">
            <v>E</v>
          </cell>
          <cell r="P184">
            <v>4</v>
          </cell>
          <cell r="Q184">
            <v>4</v>
          </cell>
          <cell r="R184">
            <v>4</v>
          </cell>
          <cell r="S184">
            <v>4</v>
          </cell>
          <cell r="T184">
            <v>4</v>
          </cell>
          <cell r="U184">
            <v>2</v>
          </cell>
          <cell r="V184">
            <v>2</v>
          </cell>
          <cell r="W184">
            <v>2</v>
          </cell>
          <cell r="X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</row>
        <row r="186">
          <cell r="A186"/>
          <cell r="N186" t="str">
            <v>T3 - SCHENGEN</v>
          </cell>
          <cell r="O186" t="str">
            <v>A/B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/>
        </row>
        <row r="187">
          <cell r="A187"/>
          <cell r="N187"/>
          <cell r="O187" t="str">
            <v>C</v>
          </cell>
          <cell r="P187">
            <v>3</v>
          </cell>
          <cell r="Q187">
            <v>3</v>
          </cell>
          <cell r="R187">
            <v>3</v>
          </cell>
          <cell r="S187">
            <v>3</v>
          </cell>
          <cell r="T187">
            <v>3</v>
          </cell>
          <cell r="U187">
            <v>4</v>
          </cell>
          <cell r="V187">
            <v>4</v>
          </cell>
          <cell r="W187">
            <v>4</v>
          </cell>
          <cell r="X187"/>
        </row>
        <row r="188">
          <cell r="A188"/>
          <cell r="N188"/>
          <cell r="O188" t="str">
            <v>D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</row>
        <row r="189">
          <cell r="A189"/>
          <cell r="N189"/>
          <cell r="O189" t="str">
            <v>E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F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</row>
        <row r="191">
          <cell r="A191"/>
          <cell r="N191" t="str">
            <v>T3 Total</v>
          </cell>
          <cell r="O191"/>
          <cell r="P191">
            <v>10</v>
          </cell>
          <cell r="Q191">
            <v>10</v>
          </cell>
          <cell r="R191">
            <v>10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/>
        </row>
        <row r="192">
          <cell r="A192"/>
          <cell r="O192"/>
        </row>
        <row r="193">
          <cell r="A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4">
          <cell r="A194"/>
          <cell r="K194" t="str">
            <v>Offre siège porteur</v>
          </cell>
          <cell r="L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</row>
        <row r="195">
          <cell r="A195"/>
          <cell r="K195" t="str">
            <v>A/B</v>
          </cell>
          <cell r="L195">
            <v>80</v>
          </cell>
          <cell r="N195"/>
          <cell r="O195" t="str">
            <v>Débit EMB - INTER</v>
          </cell>
          <cell r="P195">
            <v>1547</v>
          </cell>
          <cell r="Q195">
            <v>1547</v>
          </cell>
          <cell r="R195">
            <v>1547</v>
          </cell>
          <cell r="S195">
            <v>1547</v>
          </cell>
          <cell r="T195">
            <v>1547</v>
          </cell>
          <cell r="U195">
            <v>1156</v>
          </cell>
          <cell r="V195">
            <v>1156</v>
          </cell>
          <cell r="W195">
            <v>1156</v>
          </cell>
          <cell r="X195"/>
        </row>
        <row r="196">
          <cell r="A196"/>
          <cell r="K196" t="str">
            <v>C</v>
          </cell>
          <cell r="L196">
            <v>180</v>
          </cell>
          <cell r="N196"/>
          <cell r="O196"/>
        </row>
        <row r="197">
          <cell r="A197"/>
          <cell r="K197" t="str">
            <v>D</v>
          </cell>
          <cell r="L197">
            <v>250</v>
          </cell>
          <cell r="N197"/>
          <cell r="O197" t="str">
            <v>Débit EMB - SCHENGEN</v>
          </cell>
          <cell r="P197">
            <v>459</v>
          </cell>
          <cell r="Q197">
            <v>459</v>
          </cell>
          <cell r="R197">
            <v>459</v>
          </cell>
          <cell r="S197">
            <v>459</v>
          </cell>
          <cell r="T197">
            <v>459</v>
          </cell>
          <cell r="U197">
            <v>612</v>
          </cell>
          <cell r="V197">
            <v>612</v>
          </cell>
          <cell r="W197">
            <v>612</v>
          </cell>
          <cell r="X197"/>
        </row>
        <row r="198">
          <cell r="A198"/>
          <cell r="K198" t="str">
            <v>E</v>
          </cell>
          <cell r="L198">
            <v>320</v>
          </cell>
          <cell r="N198"/>
          <cell r="O198"/>
        </row>
        <row r="199">
          <cell r="A199"/>
          <cell r="K199" t="str">
            <v>F</v>
          </cell>
          <cell r="L199">
            <v>500</v>
          </cell>
          <cell r="N199"/>
          <cell r="O199"/>
        </row>
        <row r="200">
          <cell r="A200"/>
          <cell r="N200"/>
          <cell r="O200" t="str">
            <v>Débit EMB - TOTAL</v>
          </cell>
          <cell r="P200">
            <v>2006</v>
          </cell>
          <cell r="Q200">
            <v>2006</v>
          </cell>
          <cell r="R200">
            <v>2006</v>
          </cell>
          <cell r="S200">
            <v>2006</v>
          </cell>
          <cell r="T200">
            <v>2006</v>
          </cell>
          <cell r="U200">
            <v>1768</v>
          </cell>
          <cell r="V200">
            <v>1768</v>
          </cell>
          <cell r="W200">
            <v>1768</v>
          </cell>
          <cell r="X200"/>
        </row>
        <row r="201">
          <cell r="A201"/>
          <cell r="K201" t="str">
            <v>Taux de remplissage</v>
          </cell>
          <cell r="L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</row>
        <row r="202">
          <cell r="A202"/>
          <cell r="K202">
            <v>0.85</v>
          </cell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</row>
        <row r="203">
          <cell r="A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O204"/>
        </row>
        <row r="205">
          <cell r="A205"/>
          <cell r="O205"/>
        </row>
        <row r="206">
          <cell r="A206"/>
        </row>
        <row r="207">
          <cell r="A207"/>
          <cell r="O207" t="str">
            <v>T3 - Embarquement INTER</v>
          </cell>
          <cell r="P207" t="str">
            <v>W22</v>
          </cell>
          <cell r="Q207" t="str">
            <v>S23</v>
          </cell>
          <cell r="R207" t="str">
            <v>W23</v>
          </cell>
          <cell r="S207" t="str">
            <v>S24</v>
          </cell>
          <cell r="T207" t="str">
            <v>W24</v>
          </cell>
          <cell r="U207" t="str">
            <v>S25</v>
          </cell>
          <cell r="V207" t="str">
            <v>W25</v>
          </cell>
          <cell r="W207" t="str">
            <v>S26</v>
          </cell>
          <cell r="X207" t="str">
            <v>W26</v>
          </cell>
        </row>
        <row r="208">
          <cell r="A208"/>
          <cell r="R208"/>
          <cell r="S208"/>
          <cell r="T208"/>
          <cell r="U208"/>
          <cell r="V208"/>
          <cell r="W208"/>
          <cell r="X208"/>
        </row>
        <row r="209">
          <cell r="A209"/>
          <cell r="O209" t="str">
            <v>Surface d'attente utile (m2)</v>
          </cell>
          <cell r="P209">
            <v>1728</v>
          </cell>
          <cell r="Q209">
            <v>1728</v>
          </cell>
          <cell r="R209">
            <v>1728</v>
          </cell>
          <cell r="S209">
            <v>1728</v>
          </cell>
          <cell r="T209">
            <v>1728</v>
          </cell>
          <cell r="U209">
            <v>1728</v>
          </cell>
          <cell r="V209">
            <v>1728</v>
          </cell>
          <cell r="W209">
            <v>1728</v>
          </cell>
          <cell r="X209"/>
        </row>
        <row r="210">
          <cell r="A210"/>
          <cell r="O210" t="str">
            <v>Temps moyen d'occupation (min)</v>
          </cell>
          <cell r="P210">
            <v>75</v>
          </cell>
          <cell r="Q210">
            <v>75</v>
          </cell>
          <cell r="R210">
            <v>75</v>
          </cell>
          <cell r="S210">
            <v>75</v>
          </cell>
          <cell r="T210">
            <v>75</v>
          </cell>
          <cell r="U210">
            <v>75</v>
          </cell>
          <cell r="V210">
            <v>75</v>
          </cell>
          <cell r="W210">
            <v>75</v>
          </cell>
        </row>
        <row r="211">
          <cell r="A211"/>
          <cell r="O211" t="str">
            <v>Standard IATA (m2/PAX)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V211">
            <v>1</v>
          </cell>
          <cell r="W211">
            <v>1</v>
          </cell>
        </row>
        <row r="212">
          <cell r="A212"/>
          <cell r="O212" t="str">
            <v>Taux d'occupation MAX IATA</v>
          </cell>
          <cell r="P212">
            <v>0.65</v>
          </cell>
          <cell r="Q212">
            <v>0.65</v>
          </cell>
          <cell r="R212">
            <v>0.65</v>
          </cell>
          <cell r="S212">
            <v>0.65</v>
          </cell>
          <cell r="T212">
            <v>0.65</v>
          </cell>
          <cell r="U212">
            <v>0.65</v>
          </cell>
          <cell r="V212">
            <v>0.65</v>
          </cell>
          <cell r="W212">
            <v>0.65</v>
          </cell>
        </row>
        <row r="213">
          <cell r="A213"/>
        </row>
        <row r="214">
          <cell r="A214"/>
          <cell r="O214" t="str">
            <v>Attente EMB INTER</v>
          </cell>
          <cell r="P214">
            <v>898.56000000000006</v>
          </cell>
          <cell r="Q214">
            <v>898.56000000000006</v>
          </cell>
          <cell r="R214">
            <v>898.56000000000006</v>
          </cell>
          <cell r="S214">
            <v>898.56000000000006</v>
          </cell>
          <cell r="T214">
            <v>898.56000000000006</v>
          </cell>
          <cell r="U214">
            <v>898.56000000000006</v>
          </cell>
          <cell r="V214">
            <v>898.56000000000006</v>
          </cell>
          <cell r="W214">
            <v>898.56000000000006</v>
          </cell>
          <cell r="X214"/>
        </row>
        <row r="215">
          <cell r="A215"/>
        </row>
        <row r="216">
          <cell r="A216"/>
        </row>
        <row r="217">
          <cell r="A217"/>
        </row>
        <row r="218">
          <cell r="A218"/>
          <cell r="O218" t="str">
            <v>T3 - Embarquement BI-STATUT</v>
          </cell>
          <cell r="P218" t="str">
            <v>W22</v>
          </cell>
          <cell r="Q218" t="str">
            <v>S23</v>
          </cell>
          <cell r="R218" t="str">
            <v>W23</v>
          </cell>
          <cell r="S218" t="str">
            <v>S24</v>
          </cell>
          <cell r="T218" t="str">
            <v>W24</v>
          </cell>
          <cell r="U218" t="str">
            <v>S25</v>
          </cell>
          <cell r="V218" t="str">
            <v>W25</v>
          </cell>
          <cell r="W218" t="str">
            <v>S26</v>
          </cell>
          <cell r="X218" t="str">
            <v>W26</v>
          </cell>
        </row>
        <row r="219">
          <cell r="A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 t="str">
            <v>Surface d'attente utile (m2)</v>
          </cell>
          <cell r="P220">
            <v>466</v>
          </cell>
          <cell r="Q220">
            <v>466</v>
          </cell>
          <cell r="R220">
            <v>466</v>
          </cell>
          <cell r="S220">
            <v>466</v>
          </cell>
          <cell r="T220">
            <v>466</v>
          </cell>
          <cell r="U220">
            <v>466</v>
          </cell>
          <cell r="V220">
            <v>466</v>
          </cell>
          <cell r="W220">
            <v>466</v>
          </cell>
          <cell r="X220"/>
        </row>
        <row r="221">
          <cell r="A221"/>
          <cell r="O221" t="str">
            <v>Temps moyen d'occupation (min)</v>
          </cell>
          <cell r="P221">
            <v>75</v>
          </cell>
          <cell r="Q221">
            <v>75</v>
          </cell>
          <cell r="R221">
            <v>75</v>
          </cell>
          <cell r="S221">
            <v>75</v>
          </cell>
          <cell r="T221">
            <v>75</v>
          </cell>
          <cell r="U221">
            <v>75</v>
          </cell>
          <cell r="V221">
            <v>75</v>
          </cell>
          <cell r="W221">
            <v>75</v>
          </cell>
        </row>
        <row r="222">
          <cell r="A222"/>
          <cell r="O222" t="str">
            <v>Standard IATA (m2/PAX)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</row>
        <row r="223">
          <cell r="A223"/>
          <cell r="O223" t="str">
            <v>Taux d'occupation MAX IATA</v>
          </cell>
          <cell r="P223">
            <v>0.65</v>
          </cell>
          <cell r="Q223">
            <v>0.65</v>
          </cell>
          <cell r="R223">
            <v>0.65</v>
          </cell>
          <cell r="S223">
            <v>0.65</v>
          </cell>
          <cell r="T223">
            <v>0.65</v>
          </cell>
          <cell r="U223">
            <v>0.65</v>
          </cell>
          <cell r="V223">
            <v>0.65</v>
          </cell>
          <cell r="W223">
            <v>0.65</v>
          </cell>
        </row>
        <row r="224">
          <cell r="A224"/>
        </row>
        <row r="225">
          <cell r="A225"/>
          <cell r="O225" t="str">
            <v>Attente EMB BI-STATUT</v>
          </cell>
          <cell r="P225">
            <v>242.32000000000002</v>
          </cell>
          <cell r="Q225">
            <v>242.32000000000002</v>
          </cell>
          <cell r="R225">
            <v>242.32000000000002</v>
          </cell>
          <cell r="S225">
            <v>242.32000000000002</v>
          </cell>
          <cell r="T225">
            <v>242.32000000000002</v>
          </cell>
          <cell r="U225">
            <v>242.32000000000002</v>
          </cell>
          <cell r="V225">
            <v>242.32000000000002</v>
          </cell>
          <cell r="W225">
            <v>242.32000000000002</v>
          </cell>
          <cell r="X225"/>
        </row>
        <row r="226">
          <cell r="A226"/>
        </row>
        <row r="227">
          <cell r="A227"/>
        </row>
        <row r="228">
          <cell r="A228"/>
        </row>
        <row r="229">
          <cell r="A229"/>
          <cell r="O229" t="str">
            <v>T3 - Embarquement SCHENGEN</v>
          </cell>
          <cell r="P229" t="str">
            <v>W22</v>
          </cell>
          <cell r="Q229" t="str">
            <v>S23</v>
          </cell>
          <cell r="R229" t="str">
            <v>W23</v>
          </cell>
          <cell r="S229" t="str">
            <v>S24</v>
          </cell>
          <cell r="T229" t="str">
            <v>W24</v>
          </cell>
          <cell r="U229" t="str">
            <v>S25</v>
          </cell>
          <cell r="V229" t="str">
            <v>W25</v>
          </cell>
          <cell r="W229" t="str">
            <v>S26</v>
          </cell>
          <cell r="X229" t="str">
            <v>W26</v>
          </cell>
        </row>
        <row r="230">
          <cell r="A230"/>
          <cell r="R230"/>
          <cell r="S230"/>
          <cell r="T230"/>
          <cell r="U230"/>
          <cell r="V230"/>
          <cell r="W230"/>
          <cell r="X230"/>
        </row>
        <row r="231">
          <cell r="A231"/>
          <cell r="O231" t="str">
            <v>Surface d'attente utile (m2)</v>
          </cell>
          <cell r="P231">
            <v>973</v>
          </cell>
          <cell r="Q231">
            <v>973</v>
          </cell>
          <cell r="R231">
            <v>973</v>
          </cell>
          <cell r="S231">
            <v>973</v>
          </cell>
          <cell r="T231">
            <v>973</v>
          </cell>
          <cell r="U231">
            <v>973</v>
          </cell>
          <cell r="V231">
            <v>973</v>
          </cell>
          <cell r="W231">
            <v>973</v>
          </cell>
          <cell r="X231"/>
        </row>
        <row r="232">
          <cell r="A232"/>
          <cell r="O232" t="str">
            <v>Temps moyen d'occupation (min)</v>
          </cell>
          <cell r="P232">
            <v>65</v>
          </cell>
          <cell r="Q232">
            <v>65</v>
          </cell>
          <cell r="R232">
            <v>65</v>
          </cell>
          <cell r="S232">
            <v>65</v>
          </cell>
          <cell r="T232">
            <v>65</v>
          </cell>
          <cell r="U232">
            <v>65</v>
          </cell>
          <cell r="V232">
            <v>65</v>
          </cell>
          <cell r="W232">
            <v>65</v>
          </cell>
        </row>
        <row r="233">
          <cell r="A233"/>
          <cell r="O233" t="str">
            <v>Standard IATA (m2/PAX)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</row>
        <row r="234">
          <cell r="A234"/>
          <cell r="O234" t="str">
            <v>Taux d'occupation MAX IATA</v>
          </cell>
          <cell r="P234">
            <v>0.65</v>
          </cell>
          <cell r="Q234">
            <v>0.65</v>
          </cell>
          <cell r="R234">
            <v>0.65</v>
          </cell>
          <cell r="S234">
            <v>0.65</v>
          </cell>
          <cell r="T234">
            <v>0.65</v>
          </cell>
          <cell r="U234">
            <v>0.65</v>
          </cell>
          <cell r="V234">
            <v>0.65</v>
          </cell>
          <cell r="W234">
            <v>0.65</v>
          </cell>
        </row>
        <row r="235">
          <cell r="A235"/>
        </row>
        <row r="236">
          <cell r="A236"/>
          <cell r="O236" t="str">
            <v>Attente EMB SCHENGEN</v>
          </cell>
          <cell r="P236">
            <v>583.80000000000007</v>
          </cell>
          <cell r="Q236">
            <v>583.80000000000007</v>
          </cell>
          <cell r="R236">
            <v>583.80000000000007</v>
          </cell>
          <cell r="S236">
            <v>583.80000000000007</v>
          </cell>
          <cell r="T236">
            <v>583.80000000000007</v>
          </cell>
          <cell r="U236">
            <v>583.80000000000007</v>
          </cell>
          <cell r="V236">
            <v>583.80000000000007</v>
          </cell>
          <cell r="W236">
            <v>583.80000000000007</v>
          </cell>
          <cell r="X236"/>
        </row>
        <row r="237">
          <cell r="A237"/>
        </row>
        <row r="238">
          <cell r="A238"/>
        </row>
        <row r="239">
          <cell r="A239"/>
          <cell r="O239" t="str">
            <v>Attente EMB - INTER</v>
          </cell>
          <cell r="P239">
            <v>1140.8800000000001</v>
          </cell>
          <cell r="Q239">
            <v>1140.8800000000001</v>
          </cell>
          <cell r="R239">
            <v>1140.8800000000001</v>
          </cell>
          <cell r="S239">
            <v>1140.8800000000001</v>
          </cell>
          <cell r="T239">
            <v>1140.8800000000001</v>
          </cell>
          <cell r="U239">
            <v>1140.8800000000001</v>
          </cell>
          <cell r="V239">
            <v>1140.8800000000001</v>
          </cell>
          <cell r="W239">
            <v>1140.8800000000001</v>
          </cell>
          <cell r="X239"/>
        </row>
        <row r="240">
          <cell r="A240"/>
          <cell r="P240"/>
          <cell r="Q240"/>
          <cell r="R240"/>
          <cell r="S240"/>
          <cell r="T240"/>
          <cell r="U240"/>
          <cell r="V240"/>
          <cell r="W240"/>
          <cell r="X240"/>
        </row>
        <row r="241">
          <cell r="A241"/>
          <cell r="O241" t="str">
            <v>Attente EMB - SCHENGEN</v>
          </cell>
          <cell r="P241">
            <v>583.80000000000007</v>
          </cell>
          <cell r="Q241">
            <v>583.80000000000007</v>
          </cell>
          <cell r="R241">
            <v>583.80000000000007</v>
          </cell>
          <cell r="S241">
            <v>583.80000000000007</v>
          </cell>
          <cell r="T241">
            <v>583.80000000000007</v>
          </cell>
          <cell r="U241">
            <v>583.80000000000007</v>
          </cell>
          <cell r="V241">
            <v>583.80000000000007</v>
          </cell>
          <cell r="W241">
            <v>583.80000000000007</v>
          </cell>
          <cell r="X241"/>
        </row>
        <row r="242">
          <cell r="A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</row>
        <row r="243">
          <cell r="A243"/>
        </row>
        <row r="244">
          <cell r="A244"/>
          <cell r="O244" t="str">
            <v>Attente EMB - TOTAL</v>
          </cell>
          <cell r="P244">
            <v>1724.6800000000003</v>
          </cell>
          <cell r="Q244">
            <v>1724.6800000000003</v>
          </cell>
          <cell r="R244">
            <v>1724.6800000000003</v>
          </cell>
          <cell r="S244">
            <v>1724.6800000000003</v>
          </cell>
          <cell r="T244">
            <v>1724.6800000000003</v>
          </cell>
          <cell r="U244">
            <v>1724.6800000000003</v>
          </cell>
          <cell r="V244">
            <v>1724.6800000000003</v>
          </cell>
          <cell r="W244">
            <v>1724.6800000000003</v>
          </cell>
          <cell r="X244"/>
        </row>
        <row r="245">
          <cell r="A245"/>
        </row>
        <row r="246">
          <cell r="A246"/>
        </row>
        <row r="248">
          <cell r="A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</row>
        <row r="249">
          <cell r="A249" t="str">
            <v>Postes</v>
          </cell>
        </row>
        <row r="250">
          <cell r="A250"/>
          <cell r="N250" t="str">
            <v>T3 NET1 MAX</v>
          </cell>
          <cell r="O250"/>
          <cell r="P250" t="str">
            <v>W22</v>
          </cell>
          <cell r="Q250" t="str">
            <v>S23</v>
          </cell>
          <cell r="R250" t="str">
            <v>W23</v>
          </cell>
          <cell r="S250" t="str">
            <v>S24</v>
          </cell>
          <cell r="T250" t="str">
            <v>W24</v>
          </cell>
          <cell r="U250" t="str">
            <v>S25</v>
          </cell>
          <cell r="V250" t="str">
            <v>W25</v>
          </cell>
          <cell r="W250" t="str">
            <v>S26</v>
          </cell>
          <cell r="X250" t="str">
            <v>W26</v>
          </cell>
          <cell r="Z250" t="str">
            <v>T3 BRUT</v>
          </cell>
        </row>
        <row r="251">
          <cell r="A251"/>
          <cell r="N251" t="str">
            <v>Global - CONTACT</v>
          </cell>
          <cell r="O251" t="str">
            <v>A/B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/>
          <cell r="Z251" t="str">
            <v>T3 Contact</v>
          </cell>
        </row>
        <row r="252">
          <cell r="A252"/>
          <cell r="N252"/>
          <cell r="O252" t="str">
            <v>C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/>
        </row>
        <row r="253">
          <cell r="A253"/>
          <cell r="N253"/>
          <cell r="O253" t="str">
            <v>D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/>
          <cell r="Z253"/>
        </row>
        <row r="254">
          <cell r="A254"/>
          <cell r="N254"/>
          <cell r="O254" t="str">
            <v>E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F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T3 Contact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Z257" t="str">
            <v>T3 Large</v>
          </cell>
        </row>
        <row r="258">
          <cell r="A258"/>
          <cell r="N258" t="str">
            <v>Quebec - Large</v>
          </cell>
          <cell r="O258" t="str">
            <v>A/B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/>
          <cell r="Z258"/>
        </row>
        <row r="259">
          <cell r="A259"/>
          <cell r="N259"/>
          <cell r="O259" t="str">
            <v>C</v>
          </cell>
          <cell r="P259">
            <v>9</v>
          </cell>
          <cell r="Q259">
            <v>10</v>
          </cell>
          <cell r="R259">
            <v>10</v>
          </cell>
          <cell r="S259">
            <v>10</v>
          </cell>
          <cell r="T259">
            <v>7</v>
          </cell>
          <cell r="U259">
            <v>7</v>
          </cell>
          <cell r="V259">
            <v>10</v>
          </cell>
          <cell r="W259">
            <v>11</v>
          </cell>
          <cell r="X259"/>
          <cell r="Z259"/>
        </row>
        <row r="260">
          <cell r="A260"/>
          <cell r="N260"/>
          <cell r="O260" t="str">
            <v>D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E</v>
          </cell>
          <cell r="P261">
            <v>2</v>
          </cell>
          <cell r="Q261">
            <v>2</v>
          </cell>
          <cell r="R261">
            <v>2</v>
          </cell>
          <cell r="S261">
            <v>2</v>
          </cell>
          <cell r="T261">
            <v>2</v>
          </cell>
          <cell r="U261">
            <v>2</v>
          </cell>
          <cell r="V261">
            <v>2</v>
          </cell>
          <cell r="W261">
            <v>2</v>
          </cell>
          <cell r="X261"/>
          <cell r="Z261"/>
        </row>
        <row r="262">
          <cell r="A262"/>
          <cell r="N262"/>
          <cell r="O262" t="str">
            <v>F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 t="str">
            <v>Romeo - Large</v>
          </cell>
          <cell r="O263" t="str">
            <v>A/B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</row>
        <row r="264">
          <cell r="A264"/>
          <cell r="N264"/>
          <cell r="O264" t="str">
            <v>C</v>
          </cell>
          <cell r="P264">
            <v>4</v>
          </cell>
          <cell r="Q264">
            <v>4</v>
          </cell>
          <cell r="R264">
            <v>4</v>
          </cell>
          <cell r="S264">
            <v>4</v>
          </cell>
          <cell r="T264">
            <v>4</v>
          </cell>
          <cell r="U264">
            <v>4</v>
          </cell>
          <cell r="V264">
            <v>4</v>
          </cell>
          <cell r="W264">
            <v>4</v>
          </cell>
          <cell r="X264"/>
        </row>
        <row r="265">
          <cell r="A265"/>
          <cell r="N265"/>
          <cell r="O265" t="str">
            <v>D</v>
          </cell>
          <cell r="P265">
            <v>2</v>
          </cell>
          <cell r="Q265">
            <v>2</v>
          </cell>
          <cell r="R265">
            <v>2</v>
          </cell>
          <cell r="S265">
            <v>2</v>
          </cell>
          <cell r="T265">
            <v>2</v>
          </cell>
          <cell r="U265">
            <v>2</v>
          </cell>
          <cell r="V265">
            <v>2</v>
          </cell>
          <cell r="W265">
            <v>2</v>
          </cell>
          <cell r="X265"/>
        </row>
        <row r="266">
          <cell r="A266"/>
          <cell r="N266"/>
          <cell r="O266" t="str">
            <v>E</v>
          </cell>
          <cell r="P266">
            <v>2</v>
          </cell>
          <cell r="Q266">
            <v>2</v>
          </cell>
          <cell r="R266">
            <v>2</v>
          </cell>
          <cell r="S266">
            <v>2</v>
          </cell>
          <cell r="T266">
            <v>2</v>
          </cell>
          <cell r="U266">
            <v>2</v>
          </cell>
          <cell r="V266">
            <v>2</v>
          </cell>
          <cell r="W266">
            <v>2</v>
          </cell>
          <cell r="X266"/>
        </row>
        <row r="267">
          <cell r="A267"/>
          <cell r="N267"/>
          <cell r="O267" t="str">
            <v>F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/>
        </row>
        <row r="268">
          <cell r="A268"/>
          <cell r="N268" t="str">
            <v>Global - LARGE</v>
          </cell>
          <cell r="O268" t="str">
            <v>A/B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/>
        </row>
        <row r="269">
          <cell r="A269"/>
          <cell r="N269"/>
          <cell r="O269" t="str">
            <v>C</v>
          </cell>
          <cell r="P269">
            <v>13</v>
          </cell>
          <cell r="Q269">
            <v>14</v>
          </cell>
          <cell r="R269">
            <v>14</v>
          </cell>
          <cell r="S269">
            <v>14</v>
          </cell>
          <cell r="T269">
            <v>11</v>
          </cell>
          <cell r="U269">
            <v>11</v>
          </cell>
          <cell r="V269">
            <v>14</v>
          </cell>
          <cell r="W269">
            <v>15</v>
          </cell>
          <cell r="X269"/>
        </row>
        <row r="270">
          <cell r="A270"/>
          <cell r="N270"/>
          <cell r="O270" t="str">
            <v>D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U270">
            <v>2</v>
          </cell>
          <cell r="V270">
            <v>2</v>
          </cell>
          <cell r="W270">
            <v>2</v>
          </cell>
          <cell r="X270"/>
        </row>
        <row r="271">
          <cell r="A271"/>
          <cell r="N271"/>
          <cell r="O271" t="str">
            <v>E</v>
          </cell>
          <cell r="P271">
            <v>4</v>
          </cell>
          <cell r="Q271">
            <v>4</v>
          </cell>
          <cell r="R271">
            <v>4</v>
          </cell>
          <cell r="S271">
            <v>4</v>
          </cell>
          <cell r="T271">
            <v>4</v>
          </cell>
          <cell r="U271">
            <v>4</v>
          </cell>
          <cell r="V271">
            <v>4</v>
          </cell>
          <cell r="W271">
            <v>4</v>
          </cell>
          <cell r="X271"/>
        </row>
        <row r="272">
          <cell r="A272"/>
          <cell r="N272"/>
          <cell r="O272" t="str">
            <v>F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</row>
        <row r="273">
          <cell r="A273"/>
          <cell r="N273"/>
          <cell r="O273" t="str">
            <v>T3 Large</v>
          </cell>
          <cell r="P273">
            <v>19</v>
          </cell>
          <cell r="Q273">
            <v>20</v>
          </cell>
          <cell r="R273">
            <v>20</v>
          </cell>
          <cell r="S273">
            <v>20</v>
          </cell>
          <cell r="T273">
            <v>17</v>
          </cell>
          <cell r="U273">
            <v>17</v>
          </cell>
          <cell r="V273">
            <v>20</v>
          </cell>
          <cell r="W273">
            <v>21</v>
          </cell>
          <cell r="X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Frontières ARR</v>
          </cell>
          <cell r="H280" t="str">
            <v>Sans EES</v>
          </cell>
          <cell r="I280"/>
          <cell r="J280"/>
          <cell r="K280"/>
          <cell r="L280"/>
        </row>
        <row r="281">
          <cell r="A281"/>
          <cell r="H281" t="str">
            <v>QP Passeports</v>
          </cell>
          <cell r="I281"/>
          <cell r="J281" t="str">
            <v>T3 ARR</v>
          </cell>
          <cell r="K281" t="str">
            <v>Aubette</v>
          </cell>
          <cell r="L281" t="str">
            <v>Parafe</v>
          </cell>
          <cell r="M281"/>
          <cell r="N281"/>
          <cell r="O281" t="str">
            <v>T3 - PAF ARR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Z281"/>
        </row>
        <row r="282">
          <cell r="A282"/>
          <cell r="H282" t="str">
            <v>UE</v>
          </cell>
          <cell r="I282">
            <v>0.71</v>
          </cell>
          <cell r="J282" t="str">
            <v>Part modale</v>
          </cell>
          <cell r="K282"/>
          <cell r="L282"/>
          <cell r="N282"/>
          <cell r="Z282"/>
        </row>
        <row r="283">
          <cell r="A283"/>
          <cell r="H283" t="str">
            <v>RPT13</v>
          </cell>
          <cell r="I283">
            <v>0.12</v>
          </cell>
          <cell r="J283" t="str">
            <v>UE</v>
          </cell>
          <cell r="K283">
            <v>0.4</v>
          </cell>
          <cell r="L283">
            <v>0.6</v>
          </cell>
          <cell r="M283"/>
          <cell r="N283"/>
          <cell r="O283" t="str">
            <v>NB position aubette</v>
          </cell>
          <cell r="P283">
            <v>6</v>
          </cell>
          <cell r="Q283">
            <v>6</v>
          </cell>
          <cell r="R283">
            <v>6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6</v>
          </cell>
          <cell r="X283">
            <v>6</v>
          </cell>
          <cell r="Z283"/>
        </row>
        <row r="284">
          <cell r="A284"/>
          <cell r="H284" t="str">
            <v>Autres TP</v>
          </cell>
          <cell r="I284">
            <v>0.17000000000000004</v>
          </cell>
          <cell r="J284" t="str">
            <v>RPT13</v>
          </cell>
          <cell r="K284">
            <v>0.4</v>
          </cell>
          <cell r="L284">
            <v>0.6</v>
          </cell>
          <cell r="M284"/>
          <cell r="N284"/>
          <cell r="O284" t="str">
            <v>Débit unitaire</v>
          </cell>
          <cell r="P284">
            <v>96</v>
          </cell>
          <cell r="Q284">
            <v>100</v>
          </cell>
          <cell r="R284">
            <v>100</v>
          </cell>
          <cell r="S284">
            <v>100</v>
          </cell>
          <cell r="T284">
            <v>100</v>
          </cell>
          <cell r="U284">
            <v>100</v>
          </cell>
          <cell r="V284">
            <v>100</v>
          </cell>
          <cell r="W284">
            <v>77</v>
          </cell>
          <cell r="X284">
            <v>77</v>
          </cell>
          <cell r="Z284"/>
        </row>
        <row r="285">
          <cell r="A285"/>
          <cell r="I285"/>
          <cell r="J285" t="str">
            <v>Autres TP</v>
          </cell>
          <cell r="K285">
            <v>1</v>
          </cell>
          <cell r="L285"/>
          <cell r="M285"/>
          <cell r="N285"/>
          <cell r="O285" t="str">
            <v>Débit Aubette</v>
          </cell>
          <cell r="P285">
            <v>576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  <cell r="V285">
            <v>600</v>
          </cell>
          <cell r="W285">
            <v>462</v>
          </cell>
          <cell r="X285">
            <v>462</v>
          </cell>
          <cell r="Z285"/>
        </row>
        <row r="286">
          <cell r="A286"/>
          <cell r="J286" t="str">
            <v>TTU</v>
          </cell>
          <cell r="K286"/>
          <cell r="L286"/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J287" t="str">
            <v>UE</v>
          </cell>
          <cell r="K287">
            <v>27</v>
          </cell>
          <cell r="L287">
            <v>31</v>
          </cell>
          <cell r="M287"/>
          <cell r="O287" t="str">
            <v>NB Parafes</v>
          </cell>
          <cell r="P287">
            <v>4</v>
          </cell>
          <cell r="Q287">
            <v>5</v>
          </cell>
          <cell r="R287">
            <v>5</v>
          </cell>
          <cell r="S287">
            <v>5</v>
          </cell>
          <cell r="T287">
            <v>5</v>
          </cell>
          <cell r="U287">
            <v>6</v>
          </cell>
          <cell r="V287">
            <v>6</v>
          </cell>
          <cell r="W287">
            <v>6</v>
          </cell>
          <cell r="X287">
            <v>6</v>
          </cell>
        </row>
        <row r="288">
          <cell r="A288"/>
          <cell r="J288" t="str">
            <v>RPT13</v>
          </cell>
          <cell r="K288">
            <v>47.6</v>
          </cell>
          <cell r="L288">
            <v>31</v>
          </cell>
          <cell r="O288" t="str">
            <v>Débit unitaire</v>
          </cell>
          <cell r="P288">
            <v>116</v>
          </cell>
          <cell r="Q288">
            <v>116</v>
          </cell>
          <cell r="R288">
            <v>116</v>
          </cell>
          <cell r="S288">
            <v>116</v>
          </cell>
          <cell r="T288">
            <v>116</v>
          </cell>
          <cell r="U288">
            <v>116</v>
          </cell>
          <cell r="V288">
            <v>116</v>
          </cell>
          <cell r="W288">
            <v>113</v>
          </cell>
          <cell r="X288">
            <v>113</v>
          </cell>
        </row>
        <row r="289">
          <cell r="A289"/>
          <cell r="J289" t="str">
            <v>Autres TP</v>
          </cell>
          <cell r="K289">
            <v>47.6</v>
          </cell>
          <cell r="L289"/>
          <cell r="M289"/>
          <cell r="O289" t="str">
            <v>Débit Parafe</v>
          </cell>
          <cell r="P289">
            <v>464</v>
          </cell>
          <cell r="Q289">
            <v>580</v>
          </cell>
          <cell r="R289">
            <v>580</v>
          </cell>
          <cell r="S289">
            <v>580</v>
          </cell>
          <cell r="T289">
            <v>580</v>
          </cell>
          <cell r="U289">
            <v>696</v>
          </cell>
          <cell r="V289">
            <v>696</v>
          </cell>
          <cell r="W289">
            <v>678</v>
          </cell>
          <cell r="X289">
            <v>678</v>
          </cell>
        </row>
        <row r="290">
          <cell r="A290"/>
          <cell r="J290" t="str">
            <v>Résultante unitaire</v>
          </cell>
          <cell r="K290"/>
          <cell r="L290"/>
          <cell r="P290"/>
          <cell r="Q290"/>
          <cell r="R290"/>
          <cell r="S290"/>
          <cell r="T290"/>
          <cell r="U290"/>
          <cell r="V290"/>
          <cell r="W290"/>
          <cell r="X290"/>
        </row>
        <row r="291">
          <cell r="A291"/>
          <cell r="J291" t="str">
            <v>PM</v>
          </cell>
          <cell r="K291">
            <v>0.502</v>
          </cell>
          <cell r="L291">
            <v>0.498</v>
          </cell>
          <cell r="M291"/>
          <cell r="O291" t="str">
            <v>Débit PAF ARR</v>
          </cell>
          <cell r="P291">
            <v>1040</v>
          </cell>
          <cell r="Q291">
            <v>1180</v>
          </cell>
          <cell r="R291">
            <v>1180</v>
          </cell>
          <cell r="S291">
            <v>1180</v>
          </cell>
          <cell r="T291">
            <v>1180</v>
          </cell>
          <cell r="U291">
            <v>1296</v>
          </cell>
          <cell r="V291">
            <v>1296</v>
          </cell>
          <cell r="W291">
            <v>1140</v>
          </cell>
          <cell r="X291">
            <v>1140</v>
          </cell>
        </row>
        <row r="292">
          <cell r="A292"/>
          <cell r="J292" t="str">
            <v>TTU</v>
          </cell>
          <cell r="K292">
            <v>35.94581673306773</v>
          </cell>
          <cell r="L292">
            <v>30.999999999999996</v>
          </cell>
          <cell r="M292"/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J293" t="str">
            <v xml:space="preserve">Débit unitaire </v>
          </cell>
          <cell r="K293">
            <v>100.15073594608972</v>
          </cell>
          <cell r="L293">
            <v>116.12903225806453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/>
          <cell r="K294"/>
          <cell r="L294"/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H296" t="str">
            <v>Avec EES</v>
          </cell>
          <cell r="I296"/>
          <cell r="J296"/>
          <cell r="K296"/>
          <cell r="L296"/>
          <cell r="O296" t="str">
            <v>T3 - Surface PAF ARR</v>
          </cell>
          <cell r="P296" t="str">
            <v>W22</v>
          </cell>
          <cell r="Q296" t="str">
            <v>S23</v>
          </cell>
          <cell r="R296" t="str">
            <v>W23</v>
          </cell>
          <cell r="S296" t="str">
            <v>S24</v>
          </cell>
          <cell r="T296" t="str">
            <v>W24</v>
          </cell>
          <cell r="U296" t="str">
            <v>S25</v>
          </cell>
          <cell r="V296" t="str">
            <v>W25</v>
          </cell>
          <cell r="W296" t="str">
            <v>S26</v>
          </cell>
          <cell r="X296" t="str">
            <v>W26</v>
          </cell>
        </row>
        <row r="297">
          <cell r="A297"/>
          <cell r="H297" t="str">
            <v>QP Passeports</v>
          </cell>
          <cell r="I297"/>
          <cell r="J297" t="str">
            <v>T3 ARR</v>
          </cell>
          <cell r="K297" t="str">
            <v>Aubette</v>
          </cell>
          <cell r="L297" t="str">
            <v>Parafe</v>
          </cell>
          <cell r="M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H298" t="str">
            <v>UE</v>
          </cell>
          <cell r="I298">
            <v>0.71</v>
          </cell>
          <cell r="J298" t="str">
            <v>Part modale</v>
          </cell>
          <cell r="K298"/>
          <cell r="L298"/>
          <cell r="O298" t="str">
            <v>SURFACE GLOBAL</v>
          </cell>
          <cell r="P298">
            <v>280</v>
          </cell>
          <cell r="Q298">
            <v>280</v>
          </cell>
          <cell r="R298">
            <v>280</v>
          </cell>
          <cell r="S298">
            <v>280</v>
          </cell>
          <cell r="T298">
            <v>280</v>
          </cell>
          <cell r="U298">
            <v>290</v>
          </cell>
          <cell r="V298">
            <v>290</v>
          </cell>
          <cell r="W298">
            <v>290</v>
          </cell>
          <cell r="X298">
            <v>290</v>
          </cell>
        </row>
        <row r="299">
          <cell r="A299"/>
          <cell r="H299" t="str">
            <v>RPT13</v>
          </cell>
          <cell r="I299">
            <v>0.12</v>
          </cell>
          <cell r="J299" t="str">
            <v>UE</v>
          </cell>
          <cell r="K299">
            <v>0.4</v>
          </cell>
          <cell r="L299">
            <v>0.6</v>
          </cell>
          <cell r="M299"/>
        </row>
        <row r="300">
          <cell r="A300"/>
          <cell r="H300" t="str">
            <v>Autres TP</v>
          </cell>
          <cell r="I300">
            <v>0.17</v>
          </cell>
          <cell r="J300" t="str">
            <v>RPT13</v>
          </cell>
          <cell r="K300">
            <v>0.4</v>
          </cell>
          <cell r="L300">
            <v>0.6</v>
          </cell>
          <cell r="M300"/>
          <cell r="O300" t="str">
            <v>Temps d'attente maximum (min)</v>
          </cell>
          <cell r="P300">
            <v>20</v>
          </cell>
          <cell r="Q300">
            <v>20</v>
          </cell>
          <cell r="R300">
            <v>20</v>
          </cell>
          <cell r="S300">
            <v>20</v>
          </cell>
          <cell r="T300">
            <v>20</v>
          </cell>
          <cell r="U300">
            <v>20</v>
          </cell>
          <cell r="V300">
            <v>20</v>
          </cell>
          <cell r="W300">
            <v>20</v>
          </cell>
          <cell r="X300">
            <v>20</v>
          </cell>
        </row>
        <row r="301">
          <cell r="A301"/>
          <cell r="I301"/>
          <cell r="J301" t="str">
            <v>Autres TP</v>
          </cell>
          <cell r="K301">
            <v>1</v>
          </cell>
          <cell r="L301"/>
          <cell r="M301"/>
          <cell r="O301" t="str">
            <v>Standard IATA C (m2/PAX)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V301">
            <v>1</v>
          </cell>
          <cell r="W301">
            <v>1</v>
          </cell>
          <cell r="X301">
            <v>1</v>
          </cell>
        </row>
        <row r="302">
          <cell r="A302"/>
          <cell r="J302" t="str">
            <v>TTU</v>
          </cell>
          <cell r="K302"/>
          <cell r="L302"/>
        </row>
        <row r="303">
          <cell r="A303"/>
          <cell r="J303" t="str">
            <v>UE</v>
          </cell>
          <cell r="K303">
            <v>27</v>
          </cell>
          <cell r="L303">
            <v>31</v>
          </cell>
          <cell r="M303"/>
          <cell r="O303" t="str">
            <v>Attente PAF ARR</v>
          </cell>
          <cell r="P303">
            <v>840</v>
          </cell>
          <cell r="Q303">
            <v>840</v>
          </cell>
          <cell r="R303">
            <v>840</v>
          </cell>
          <cell r="S303">
            <v>840</v>
          </cell>
          <cell r="T303">
            <v>840</v>
          </cell>
          <cell r="U303">
            <v>870</v>
          </cell>
          <cell r="V303">
            <v>870</v>
          </cell>
          <cell r="W303">
            <v>870</v>
          </cell>
          <cell r="X303">
            <v>870</v>
          </cell>
        </row>
        <row r="304">
          <cell r="A304"/>
          <cell r="J304" t="str">
            <v>RPT13</v>
          </cell>
          <cell r="K304">
            <v>72</v>
          </cell>
          <cell r="L304">
            <v>37</v>
          </cell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Autres TP</v>
          </cell>
          <cell r="K305">
            <v>72</v>
          </cell>
          <cell r="L305"/>
          <cell r="M305"/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Résultante unitaire</v>
          </cell>
          <cell r="K306"/>
          <cell r="L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PM</v>
          </cell>
          <cell r="K307">
            <v>0.502</v>
          </cell>
          <cell r="L307">
            <v>0.498</v>
          </cell>
          <cell r="M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TTU</v>
          </cell>
          <cell r="K308">
            <v>46.541832669322702</v>
          </cell>
          <cell r="L308">
            <v>31.867469879518072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 xml:space="preserve">Débit unitaire </v>
          </cell>
          <cell r="K309">
            <v>77.349768875192623</v>
          </cell>
          <cell r="L309">
            <v>112.96786389413988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/>
          <cell r="K310"/>
          <cell r="L310"/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I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N312"/>
          <cell r="Z312"/>
        </row>
        <row r="313"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SLB</v>
          </cell>
          <cell r="I314"/>
          <cell r="J314"/>
          <cell r="K314"/>
          <cell r="L314"/>
          <cell r="M314"/>
          <cell r="N314"/>
          <cell r="Z314"/>
        </row>
        <row r="315">
          <cell r="A315"/>
          <cell r="I315"/>
          <cell r="J315"/>
          <cell r="K315"/>
          <cell r="L315"/>
          <cell r="M315"/>
          <cell r="N315"/>
          <cell r="O315" t="str">
            <v>T3 - SLB</v>
          </cell>
          <cell r="P315" t="str">
            <v>W22</v>
          </cell>
          <cell r="Q315" t="str">
            <v>S23</v>
          </cell>
          <cell r="R315" t="str">
            <v>W23</v>
          </cell>
          <cell r="S315" t="str">
            <v>S24</v>
          </cell>
          <cell r="T315" t="str">
            <v>W24</v>
          </cell>
          <cell r="U315" t="str">
            <v>S25</v>
          </cell>
          <cell r="V315" t="str">
            <v>W25</v>
          </cell>
          <cell r="W315" t="str">
            <v>S26</v>
          </cell>
          <cell r="X315" t="str">
            <v>W26</v>
          </cell>
          <cell r="Z315"/>
        </row>
        <row r="316">
          <cell r="A316"/>
        </row>
        <row r="317">
          <cell r="A317"/>
          <cell r="O317" t="str">
            <v>NB tapis</v>
          </cell>
          <cell r="P317">
            <v>3</v>
          </cell>
          <cell r="Q317">
            <v>3</v>
          </cell>
          <cell r="R317">
            <v>3</v>
          </cell>
          <cell r="S317">
            <v>3</v>
          </cell>
          <cell r="T317">
            <v>3</v>
          </cell>
          <cell r="U317">
            <v>3</v>
          </cell>
          <cell r="V317">
            <v>3</v>
          </cell>
          <cell r="W317">
            <v>3</v>
          </cell>
          <cell r="X317">
            <v>3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</row>
        <row r="322">
          <cell r="A322"/>
        </row>
        <row r="323">
          <cell r="A323"/>
        </row>
        <row r="324">
          <cell r="A324"/>
        </row>
        <row r="325">
          <cell r="A325"/>
        </row>
        <row r="326">
          <cell r="A326"/>
        </row>
        <row r="327">
          <cell r="A327"/>
        </row>
        <row r="328">
          <cell r="A328"/>
        </row>
        <row r="329">
          <cell r="A329"/>
        </row>
        <row r="330">
          <cell r="A330"/>
        </row>
        <row r="331">
          <cell r="A331"/>
        </row>
      </sheetData>
      <sheetData sheetId="4">
        <row r="1">
          <cell r="B1" t="str">
            <v>T2AC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T2AC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8.5</v>
          </cell>
          <cell r="Q5">
            <v>8.5</v>
          </cell>
          <cell r="R5">
            <v>8.5</v>
          </cell>
          <cell r="S5">
            <v>8.5</v>
          </cell>
          <cell r="T5">
            <v>8.5</v>
          </cell>
          <cell r="U5">
            <v>8.5</v>
          </cell>
          <cell r="V5">
            <v>8.5</v>
          </cell>
          <cell r="W5">
            <v>8.5</v>
          </cell>
          <cell r="X5">
            <v>8.5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8.5</v>
          </cell>
          <cell r="Q7">
            <v>8.5</v>
          </cell>
          <cell r="R7">
            <v>8.5</v>
          </cell>
          <cell r="S7">
            <v>8.5</v>
          </cell>
          <cell r="T7">
            <v>8.5</v>
          </cell>
          <cell r="U7">
            <v>8.5</v>
          </cell>
          <cell r="V7">
            <v>8.5</v>
          </cell>
          <cell r="W7">
            <v>8.5</v>
          </cell>
          <cell r="X7">
            <v>8.5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1800</v>
          </cell>
          <cell r="Q11">
            <v>1800</v>
          </cell>
          <cell r="R11">
            <v>1800</v>
          </cell>
          <cell r="S11">
            <v>1900</v>
          </cell>
          <cell r="T11">
            <v>1900</v>
          </cell>
          <cell r="U11">
            <v>1900</v>
          </cell>
          <cell r="V11">
            <v>1900</v>
          </cell>
          <cell r="W11">
            <v>1900</v>
          </cell>
          <cell r="X11">
            <v>1900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T2AC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/>
          <cell r="R20"/>
          <cell r="S20">
            <v>1059</v>
          </cell>
          <cell r="T20"/>
          <cell r="U20">
            <v>1335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/>
          <cell r="R22"/>
          <cell r="S22">
            <v>1059</v>
          </cell>
          <cell r="T22"/>
          <cell r="U22">
            <v>1335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2795.65</v>
          </cell>
          <cell r="Q24">
            <v>0</v>
          </cell>
          <cell r="R24">
            <v>0</v>
          </cell>
          <cell r="S24">
            <v>2052.75</v>
          </cell>
          <cell r="T24">
            <v>1388.05</v>
          </cell>
          <cell r="U24">
            <v>1388.05</v>
          </cell>
          <cell r="V24">
            <v>2815.2</v>
          </cell>
          <cell r="W24">
            <v>2815.2</v>
          </cell>
          <cell r="X24">
            <v>2815.2</v>
          </cell>
        </row>
        <row r="25">
          <cell r="A25"/>
          <cell r="N25"/>
          <cell r="O25" t="str">
            <v>Capacité Surfaces</v>
          </cell>
          <cell r="P25">
            <v>0</v>
          </cell>
          <cell r="Q25">
            <v>0</v>
          </cell>
          <cell r="R25">
            <v>0</v>
          </cell>
          <cell r="S25">
            <v>3728.5714285714289</v>
          </cell>
          <cell r="T25">
            <v>2414.2857142857142</v>
          </cell>
          <cell r="U25">
            <v>2414.2857142857142</v>
          </cell>
          <cell r="V25">
            <v>4385.7142857142862</v>
          </cell>
          <cell r="W25">
            <v>4385.7142857142862</v>
          </cell>
          <cell r="X25">
            <v>4385.7142857142862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3106.2777777777778</v>
          </cell>
          <cell r="Q27">
            <v>0</v>
          </cell>
          <cell r="R27">
            <v>0</v>
          </cell>
          <cell r="S27">
            <v>2565.9375</v>
          </cell>
          <cell r="T27">
            <v>1735.0624999999998</v>
          </cell>
          <cell r="U27">
            <v>1735.0624999999998</v>
          </cell>
          <cell r="V27">
            <v>3518.9999999999995</v>
          </cell>
          <cell r="W27">
            <v>3518.9999999999995</v>
          </cell>
          <cell r="X27">
            <v>3518.9999999999995</v>
          </cell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>
            <v>2348</v>
          </cell>
          <cell r="Q29">
            <v>1248</v>
          </cell>
          <cell r="R29">
            <v>2640</v>
          </cell>
          <cell r="S29">
            <v>2848</v>
          </cell>
          <cell r="T29">
            <v>2848</v>
          </cell>
          <cell r="U29">
            <v>2848</v>
          </cell>
          <cell r="V29">
            <v>2848</v>
          </cell>
          <cell r="W29">
            <v>2848</v>
          </cell>
          <cell r="X29">
            <v>2848</v>
          </cell>
        </row>
        <row r="30">
          <cell r="A30"/>
          <cell r="N30"/>
          <cell r="O30" t="str">
            <v>Capacité Surfaces</v>
          </cell>
          <cell r="P30">
            <v>1425</v>
          </cell>
          <cell r="Q30">
            <v>1425</v>
          </cell>
          <cell r="R30">
            <v>1425</v>
          </cell>
          <cell r="S30">
            <v>1680</v>
          </cell>
          <cell r="T30">
            <v>1680</v>
          </cell>
          <cell r="U30">
            <v>1680</v>
          </cell>
          <cell r="V30">
            <v>1680</v>
          </cell>
          <cell r="W30">
            <v>1680</v>
          </cell>
          <cell r="X30">
            <v>1680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2348</v>
          </cell>
          <cell r="Q32">
            <v>1248</v>
          </cell>
          <cell r="R32">
            <v>2640</v>
          </cell>
          <cell r="S32">
            <v>2848</v>
          </cell>
          <cell r="T32">
            <v>2848</v>
          </cell>
          <cell r="U32">
            <v>2848</v>
          </cell>
          <cell r="V32">
            <v>2848</v>
          </cell>
          <cell r="W32">
            <v>2848</v>
          </cell>
          <cell r="X32">
            <v>2848</v>
          </cell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>
            <v>1960</v>
          </cell>
          <cell r="Q34">
            <v>1960</v>
          </cell>
          <cell r="R34">
            <v>1960</v>
          </cell>
          <cell r="S34">
            <v>1960</v>
          </cell>
          <cell r="T34">
            <v>1960</v>
          </cell>
          <cell r="U34">
            <v>1960</v>
          </cell>
          <cell r="V34">
            <v>1960</v>
          </cell>
          <cell r="W34">
            <v>1960</v>
          </cell>
          <cell r="X34">
            <v>1960</v>
          </cell>
        </row>
        <row r="35">
          <cell r="A35"/>
          <cell r="N35"/>
          <cell r="O35" t="str">
            <v>Capacité Surfaces</v>
          </cell>
          <cell r="P35">
            <v>2466</v>
          </cell>
          <cell r="Q35">
            <v>2466</v>
          </cell>
          <cell r="R35">
            <v>2466</v>
          </cell>
          <cell r="S35">
            <v>2466</v>
          </cell>
          <cell r="T35">
            <v>2466</v>
          </cell>
          <cell r="U35">
            <v>2466</v>
          </cell>
          <cell r="V35">
            <v>2496</v>
          </cell>
          <cell r="W35">
            <v>2496</v>
          </cell>
          <cell r="X35">
            <v>2496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Capacité fictive Bloc</v>
          </cell>
          <cell r="P37">
            <v>1960</v>
          </cell>
          <cell r="Q37">
            <v>1960</v>
          </cell>
          <cell r="R37">
            <v>1960</v>
          </cell>
          <cell r="S37">
            <v>1960</v>
          </cell>
          <cell r="T37">
            <v>1960</v>
          </cell>
          <cell r="U37">
            <v>1960</v>
          </cell>
          <cell r="V37">
            <v>1960</v>
          </cell>
          <cell r="W37">
            <v>1960</v>
          </cell>
          <cell r="X37">
            <v>1960</v>
          </cell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>
            <v>4598.5</v>
          </cell>
          <cell r="Q39">
            <v>0</v>
          </cell>
          <cell r="R39">
            <v>0</v>
          </cell>
          <cell r="S39">
            <v>4598.5</v>
          </cell>
          <cell r="T39">
            <v>4598.5</v>
          </cell>
          <cell r="U39">
            <v>4598.5</v>
          </cell>
          <cell r="V39">
            <v>4598.5</v>
          </cell>
          <cell r="W39">
            <v>4054.5</v>
          </cell>
          <cell r="X39">
            <v>0</v>
          </cell>
        </row>
        <row r="40">
          <cell r="A40"/>
          <cell r="N40"/>
          <cell r="O40" t="str">
            <v>Capacité Surfaces</v>
          </cell>
          <cell r="P40">
            <v>3378.2666666666664</v>
          </cell>
          <cell r="Q40">
            <v>3378.2666666666664</v>
          </cell>
          <cell r="R40">
            <v>3378.2666666666664</v>
          </cell>
          <cell r="S40">
            <v>3378.2666666666664</v>
          </cell>
          <cell r="T40">
            <v>3330.6</v>
          </cell>
          <cell r="U40">
            <v>3147.3</v>
          </cell>
          <cell r="V40">
            <v>3035.0666666666666</v>
          </cell>
          <cell r="W40">
            <v>3035.0666666666666</v>
          </cell>
          <cell r="X40">
            <v>3035.0666666666666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Capacité fictive Bloc</v>
          </cell>
          <cell r="P42">
            <v>3378.2666666666664</v>
          </cell>
          <cell r="Q42">
            <v>3378.2666666666664</v>
          </cell>
          <cell r="R42">
            <v>3378.2666666666664</v>
          </cell>
          <cell r="S42">
            <v>3378.2666666666664</v>
          </cell>
          <cell r="T42">
            <v>3330.6</v>
          </cell>
          <cell r="U42">
            <v>3147.3</v>
          </cell>
          <cell r="V42">
            <v>3035.0666666666666</v>
          </cell>
          <cell r="W42">
            <v>3035.0666666666666</v>
          </cell>
          <cell r="X42">
            <v>3035.0666666666666</v>
          </cell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x</v>
          </cell>
          <cell r="T45" t="str">
            <v>-</v>
          </cell>
          <cell r="U45" t="str">
            <v>x</v>
          </cell>
          <cell r="V45" t="str">
            <v>-</v>
          </cell>
          <cell r="W45" t="str">
            <v>x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x</v>
          </cell>
          <cell r="T46" t="str">
            <v>-</v>
          </cell>
          <cell r="U46" t="str">
            <v>x</v>
          </cell>
          <cell r="V46" t="str">
            <v>-</v>
          </cell>
          <cell r="W46" t="str">
            <v>x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>
            <v>1900</v>
          </cell>
          <cell r="T47" t="str">
            <v>-</v>
          </cell>
          <cell r="U47">
            <v>1900</v>
          </cell>
          <cell r="V47" t="str">
            <v>-</v>
          </cell>
          <cell r="W47">
            <v>1900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3">
          <cell r="A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</row>
        <row r="54">
          <cell r="A54" t="str">
            <v>Enregistrement</v>
          </cell>
        </row>
        <row r="55">
          <cell r="A55"/>
          <cell r="N55" t="str">
            <v>T2AC - Enregistrement NET</v>
          </cell>
          <cell r="O55"/>
          <cell r="P55" t="str">
            <v>W22</v>
          </cell>
          <cell r="Q55" t="str">
            <v>S23</v>
          </cell>
          <cell r="R55" t="str">
            <v>W23</v>
          </cell>
          <cell r="S55" t="str">
            <v>S24</v>
          </cell>
          <cell r="T55" t="str">
            <v>W24</v>
          </cell>
          <cell r="U55" t="str">
            <v>S25</v>
          </cell>
          <cell r="V55" t="str">
            <v>W25</v>
          </cell>
          <cell r="W55" t="str">
            <v>S26</v>
          </cell>
          <cell r="X55" t="str">
            <v>W26</v>
          </cell>
        </row>
        <row r="56">
          <cell r="A56"/>
          <cell r="N56" t="str">
            <v>GB 1 (2A)</v>
          </cell>
          <cell r="O56" t="str">
            <v>Banques</v>
          </cell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</row>
        <row r="57">
          <cell r="A57"/>
          <cell r="N57"/>
          <cell r="O57" t="str">
            <v>DBA</v>
          </cell>
          <cell r="P57">
            <v>0</v>
          </cell>
          <cell r="Q57"/>
          <cell r="R57"/>
          <cell r="S57"/>
          <cell r="T57"/>
          <cell r="U57"/>
          <cell r="V57"/>
          <cell r="W57"/>
          <cell r="X57"/>
        </row>
        <row r="58">
          <cell r="A58"/>
          <cell r="N58"/>
          <cell r="O58" t="str">
            <v>CUSS</v>
          </cell>
          <cell r="P58">
            <v>0</v>
          </cell>
          <cell r="Q58"/>
          <cell r="R58"/>
          <cell r="S58"/>
          <cell r="T58"/>
          <cell r="U58"/>
          <cell r="V58"/>
          <cell r="W58"/>
          <cell r="X58"/>
        </row>
        <row r="59">
          <cell r="A59"/>
          <cell r="N59" t="str">
            <v>GB 2 (2A)</v>
          </cell>
          <cell r="O59" t="str">
            <v>Banques</v>
          </cell>
          <cell r="P59">
            <v>3</v>
          </cell>
          <cell r="Q59"/>
          <cell r="R59"/>
          <cell r="S59"/>
          <cell r="T59"/>
          <cell r="U59"/>
          <cell r="V59">
            <v>12</v>
          </cell>
          <cell r="W59">
            <v>12</v>
          </cell>
          <cell r="X59">
            <v>12</v>
          </cell>
        </row>
        <row r="60">
          <cell r="A60"/>
          <cell r="N60"/>
          <cell r="O60" t="str">
            <v>DBA</v>
          </cell>
          <cell r="P60">
            <v>0</v>
          </cell>
          <cell r="Q60"/>
          <cell r="R60"/>
          <cell r="S60"/>
          <cell r="T60"/>
          <cell r="U60"/>
          <cell r="V60">
            <v>10</v>
          </cell>
          <cell r="W60">
            <v>10</v>
          </cell>
          <cell r="X60">
            <v>10</v>
          </cell>
        </row>
        <row r="61">
          <cell r="A61"/>
          <cell r="N61"/>
          <cell r="O61" t="str">
            <v>CUSS</v>
          </cell>
          <cell r="P61">
            <v>0</v>
          </cell>
          <cell r="Q61"/>
          <cell r="R61"/>
          <cell r="S61"/>
          <cell r="T61"/>
          <cell r="U61"/>
          <cell r="V61">
            <v>18</v>
          </cell>
          <cell r="W61">
            <v>18</v>
          </cell>
          <cell r="X61">
            <v>18</v>
          </cell>
        </row>
        <row r="62">
          <cell r="A62"/>
          <cell r="N62" t="str">
            <v>GB 3 (2A)</v>
          </cell>
          <cell r="O62" t="str">
            <v>Banques</v>
          </cell>
          <cell r="P62">
            <v>8</v>
          </cell>
          <cell r="Q62"/>
          <cell r="R62"/>
          <cell r="S62"/>
          <cell r="T62"/>
          <cell r="U62"/>
          <cell r="V62">
            <v>8</v>
          </cell>
          <cell r="W62">
            <v>8</v>
          </cell>
          <cell r="X62">
            <v>8</v>
          </cell>
        </row>
        <row r="63">
          <cell r="A63"/>
          <cell r="N63"/>
          <cell r="O63" t="str">
            <v>DBA</v>
          </cell>
          <cell r="P63">
            <v>0</v>
          </cell>
          <cell r="Q63"/>
          <cell r="R63"/>
          <cell r="S63"/>
          <cell r="T63"/>
          <cell r="U63"/>
          <cell r="V63">
            <v>6</v>
          </cell>
          <cell r="W63">
            <v>6</v>
          </cell>
          <cell r="X63">
            <v>6</v>
          </cell>
        </row>
        <row r="64">
          <cell r="A64"/>
          <cell r="N64"/>
          <cell r="O64" t="str">
            <v>CUSS</v>
          </cell>
          <cell r="P64">
            <v>0</v>
          </cell>
          <cell r="Q64"/>
          <cell r="R64"/>
          <cell r="S64"/>
          <cell r="T64"/>
          <cell r="U64"/>
          <cell r="V64">
            <v>2</v>
          </cell>
          <cell r="W64">
            <v>2</v>
          </cell>
          <cell r="X64">
            <v>2</v>
          </cell>
        </row>
        <row r="65">
          <cell r="A65"/>
          <cell r="N65" t="str">
            <v>GB 4 (2A)</v>
          </cell>
          <cell r="O65" t="str">
            <v>Banques</v>
          </cell>
          <cell r="P65">
            <v>8</v>
          </cell>
          <cell r="Q65"/>
          <cell r="R65"/>
          <cell r="S65"/>
          <cell r="T65"/>
          <cell r="U65"/>
          <cell r="V65">
            <v>10</v>
          </cell>
          <cell r="W65">
            <v>10</v>
          </cell>
          <cell r="X65">
            <v>10</v>
          </cell>
        </row>
        <row r="66">
          <cell r="A66"/>
          <cell r="N66"/>
          <cell r="O66" t="str">
            <v>DBA</v>
          </cell>
          <cell r="P66">
            <v>0</v>
          </cell>
          <cell r="Q66"/>
          <cell r="R66"/>
          <cell r="S66"/>
          <cell r="T66"/>
          <cell r="U66"/>
          <cell r="V66">
            <v>6</v>
          </cell>
          <cell r="W66">
            <v>6</v>
          </cell>
          <cell r="X66">
            <v>6</v>
          </cell>
        </row>
        <row r="67">
          <cell r="A67"/>
          <cell r="N67"/>
          <cell r="O67" t="str">
            <v>CUSS</v>
          </cell>
          <cell r="P67">
            <v>0</v>
          </cell>
          <cell r="Q67"/>
          <cell r="R67"/>
          <cell r="S67"/>
          <cell r="T67"/>
          <cell r="U67"/>
          <cell r="V67">
            <v>3</v>
          </cell>
          <cell r="W67">
            <v>3</v>
          </cell>
          <cell r="X67">
            <v>3</v>
          </cell>
        </row>
        <row r="68">
          <cell r="A68"/>
          <cell r="N68" t="str">
            <v>GB 5 (2A)</v>
          </cell>
          <cell r="O68" t="str">
            <v>Banques</v>
          </cell>
          <cell r="P68">
            <v>9</v>
          </cell>
          <cell r="Q68"/>
          <cell r="R68"/>
          <cell r="S68"/>
          <cell r="T68"/>
          <cell r="U68"/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DBA</v>
          </cell>
          <cell r="P69">
            <v>4</v>
          </cell>
          <cell r="Q69"/>
          <cell r="R69"/>
          <cell r="S69"/>
          <cell r="T69"/>
          <cell r="U69"/>
          <cell r="V69">
            <v>6</v>
          </cell>
          <cell r="W69">
            <v>6</v>
          </cell>
          <cell r="X69">
            <v>6</v>
          </cell>
        </row>
        <row r="70">
          <cell r="A70"/>
          <cell r="N70"/>
          <cell r="O70" t="str">
            <v>CUSS</v>
          </cell>
          <cell r="P70">
            <v>10</v>
          </cell>
          <cell r="Q70"/>
          <cell r="R70"/>
          <cell r="S70"/>
          <cell r="T70"/>
          <cell r="U70"/>
          <cell r="V70">
            <v>9</v>
          </cell>
          <cell r="W70">
            <v>9</v>
          </cell>
          <cell r="X70">
            <v>9</v>
          </cell>
        </row>
        <row r="71">
          <cell r="A71"/>
          <cell r="N71" t="str">
            <v>GB 6 (2A)</v>
          </cell>
          <cell r="O71" t="str">
            <v>Banques</v>
          </cell>
          <cell r="P71">
            <v>12</v>
          </cell>
          <cell r="Q71"/>
          <cell r="R71"/>
          <cell r="S71">
            <v>12</v>
          </cell>
          <cell r="T71"/>
          <cell r="U71"/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DBA</v>
          </cell>
          <cell r="P72">
            <v>0</v>
          </cell>
          <cell r="Q72"/>
          <cell r="R72"/>
          <cell r="S72">
            <v>0</v>
          </cell>
          <cell r="T72"/>
          <cell r="U72"/>
          <cell r="V72">
            <v>9</v>
          </cell>
          <cell r="W72">
            <v>9</v>
          </cell>
          <cell r="X72">
            <v>9</v>
          </cell>
        </row>
        <row r="73">
          <cell r="A73"/>
          <cell r="N73"/>
          <cell r="O73" t="str">
            <v>CUSS</v>
          </cell>
          <cell r="P73">
            <v>10</v>
          </cell>
          <cell r="Q73"/>
          <cell r="R73"/>
          <cell r="S73">
            <v>8</v>
          </cell>
          <cell r="T73"/>
          <cell r="U73"/>
          <cell r="V73">
            <v>8</v>
          </cell>
          <cell r="W73">
            <v>8</v>
          </cell>
          <cell r="X73">
            <v>8</v>
          </cell>
        </row>
        <row r="74">
          <cell r="A74"/>
          <cell r="N74" t="str">
            <v>GB 7 (2A)</v>
          </cell>
          <cell r="O74" t="str">
            <v>Banques</v>
          </cell>
          <cell r="P74">
            <v>10</v>
          </cell>
          <cell r="Q74"/>
          <cell r="R74"/>
          <cell r="S74">
            <v>10</v>
          </cell>
          <cell r="T74"/>
          <cell r="U74"/>
          <cell r="V74">
            <v>11</v>
          </cell>
          <cell r="W74">
            <v>11</v>
          </cell>
          <cell r="X74">
            <v>11</v>
          </cell>
        </row>
        <row r="75">
          <cell r="A75"/>
          <cell r="N75"/>
          <cell r="O75" t="str">
            <v>DBA</v>
          </cell>
          <cell r="P75">
            <v>0</v>
          </cell>
          <cell r="Q75"/>
          <cell r="R75"/>
          <cell r="S75">
            <v>0</v>
          </cell>
          <cell r="T75"/>
          <cell r="U75"/>
          <cell r="V75">
            <v>8</v>
          </cell>
          <cell r="W75">
            <v>8</v>
          </cell>
          <cell r="X75">
            <v>8</v>
          </cell>
        </row>
        <row r="76">
          <cell r="A76"/>
          <cell r="N76"/>
          <cell r="O76" t="str">
            <v>CUSS</v>
          </cell>
          <cell r="P76">
            <v>6</v>
          </cell>
          <cell r="Q76"/>
          <cell r="R76"/>
          <cell r="S76">
            <v>9</v>
          </cell>
          <cell r="T76"/>
          <cell r="U76"/>
          <cell r="V76">
            <v>7</v>
          </cell>
          <cell r="W76">
            <v>7</v>
          </cell>
          <cell r="X76">
            <v>7</v>
          </cell>
        </row>
        <row r="77">
          <cell r="A77"/>
          <cell r="N77" t="str">
            <v>GB 8 (2A)</v>
          </cell>
          <cell r="O77" t="str">
            <v>Banques</v>
          </cell>
          <cell r="P77">
            <v>12</v>
          </cell>
          <cell r="Q77"/>
          <cell r="R77"/>
          <cell r="S77">
            <v>12</v>
          </cell>
          <cell r="T77"/>
          <cell r="U77"/>
          <cell r="V77">
            <v>12</v>
          </cell>
          <cell r="W77">
            <v>12</v>
          </cell>
          <cell r="X77">
            <v>12</v>
          </cell>
        </row>
        <row r="78">
          <cell r="A78"/>
          <cell r="N78"/>
          <cell r="O78" t="str">
            <v>DBA</v>
          </cell>
          <cell r="P78">
            <v>0</v>
          </cell>
          <cell r="Q78"/>
          <cell r="R78"/>
          <cell r="S78">
            <v>0</v>
          </cell>
          <cell r="T78"/>
          <cell r="U78"/>
          <cell r="V78">
            <v>9</v>
          </cell>
          <cell r="W78">
            <v>9</v>
          </cell>
          <cell r="X78">
            <v>9</v>
          </cell>
        </row>
        <row r="79">
          <cell r="A79"/>
          <cell r="N79"/>
          <cell r="O79" t="str">
            <v>CUSS</v>
          </cell>
          <cell r="P79">
            <v>15</v>
          </cell>
          <cell r="Q79"/>
          <cell r="R79"/>
          <cell r="S79">
            <v>17</v>
          </cell>
          <cell r="T79"/>
          <cell r="U79"/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GB 9 (2C)</v>
          </cell>
          <cell r="O80" t="str">
            <v>Banques</v>
          </cell>
          <cell r="P80">
            <v>12</v>
          </cell>
          <cell r="Q80"/>
          <cell r="R80"/>
          <cell r="S80">
            <v>12</v>
          </cell>
          <cell r="T80">
            <v>12</v>
          </cell>
          <cell r="U80">
            <v>12</v>
          </cell>
          <cell r="V80">
            <v>12</v>
          </cell>
          <cell r="W80">
            <v>12</v>
          </cell>
          <cell r="X80">
            <v>12</v>
          </cell>
        </row>
        <row r="81">
          <cell r="A81"/>
          <cell r="N81"/>
          <cell r="O81" t="str">
            <v>DBA</v>
          </cell>
          <cell r="P81">
            <v>0</v>
          </cell>
          <cell r="Q81"/>
          <cell r="R81"/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/>
          <cell r="N82"/>
          <cell r="O82" t="str">
            <v>CUSS</v>
          </cell>
          <cell r="P82">
            <v>0</v>
          </cell>
          <cell r="Q82"/>
          <cell r="R82"/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/>
          <cell r="N83" t="str">
            <v>GB 10 (2C)</v>
          </cell>
          <cell r="O83" t="str">
            <v>Banques</v>
          </cell>
          <cell r="P83">
            <v>8</v>
          </cell>
          <cell r="Q83"/>
          <cell r="R83"/>
          <cell r="S83">
            <v>8</v>
          </cell>
          <cell r="T83">
            <v>8</v>
          </cell>
          <cell r="U83">
            <v>8</v>
          </cell>
          <cell r="V83">
            <v>8</v>
          </cell>
          <cell r="W83">
            <v>8</v>
          </cell>
          <cell r="X83">
            <v>8</v>
          </cell>
        </row>
        <row r="84">
          <cell r="A84"/>
          <cell r="N84"/>
          <cell r="O84" t="str">
            <v>DBA</v>
          </cell>
          <cell r="P84">
            <v>0</v>
          </cell>
          <cell r="Q84"/>
          <cell r="R84"/>
          <cell r="S84">
            <v>6</v>
          </cell>
          <cell r="T84">
            <v>6</v>
          </cell>
          <cell r="U84">
            <v>6</v>
          </cell>
          <cell r="V84">
            <v>6</v>
          </cell>
          <cell r="W84">
            <v>6</v>
          </cell>
          <cell r="X84">
            <v>6</v>
          </cell>
        </row>
        <row r="85">
          <cell r="A85"/>
          <cell r="N85"/>
          <cell r="O85" t="str">
            <v>CUSS</v>
          </cell>
          <cell r="P85">
            <v>3</v>
          </cell>
          <cell r="Q85"/>
          <cell r="R85"/>
          <cell r="S85">
            <v>9</v>
          </cell>
          <cell r="T85">
            <v>9</v>
          </cell>
          <cell r="U85">
            <v>9</v>
          </cell>
          <cell r="V85">
            <v>9</v>
          </cell>
          <cell r="W85">
            <v>9</v>
          </cell>
          <cell r="X85">
            <v>9</v>
          </cell>
        </row>
        <row r="86">
          <cell r="A86"/>
          <cell r="N86" t="str">
            <v>GB 11 (2C)</v>
          </cell>
          <cell r="O86" t="str">
            <v>Banques</v>
          </cell>
          <cell r="P86">
            <v>13</v>
          </cell>
          <cell r="Q86"/>
          <cell r="R86"/>
          <cell r="S86">
            <v>13</v>
          </cell>
          <cell r="T86">
            <v>13</v>
          </cell>
          <cell r="U86">
            <v>13</v>
          </cell>
          <cell r="V86">
            <v>13</v>
          </cell>
          <cell r="W86">
            <v>13</v>
          </cell>
          <cell r="X86">
            <v>13</v>
          </cell>
        </row>
        <row r="87">
          <cell r="A87"/>
          <cell r="N87"/>
          <cell r="O87" t="str">
            <v>DBA</v>
          </cell>
          <cell r="P87">
            <v>0</v>
          </cell>
          <cell r="Q87"/>
          <cell r="R87"/>
          <cell r="S87">
            <v>10</v>
          </cell>
          <cell r="T87">
            <v>10</v>
          </cell>
          <cell r="U87">
            <v>10</v>
          </cell>
          <cell r="V87">
            <v>10</v>
          </cell>
          <cell r="W87">
            <v>10</v>
          </cell>
          <cell r="X87">
            <v>10</v>
          </cell>
        </row>
        <row r="88">
          <cell r="A88"/>
          <cell r="N88"/>
          <cell r="O88" t="str">
            <v>CUSS</v>
          </cell>
          <cell r="P88">
            <v>4</v>
          </cell>
          <cell r="Q88"/>
          <cell r="R88"/>
          <cell r="S88">
            <v>9</v>
          </cell>
          <cell r="T88">
            <v>9</v>
          </cell>
          <cell r="U88">
            <v>9</v>
          </cell>
          <cell r="V88">
            <v>9</v>
          </cell>
          <cell r="W88">
            <v>9</v>
          </cell>
          <cell r="X88">
            <v>9</v>
          </cell>
        </row>
        <row r="89">
          <cell r="A89"/>
          <cell r="N89" t="str">
            <v>GB 12 (2C)</v>
          </cell>
          <cell r="O89" t="str">
            <v>Banques</v>
          </cell>
          <cell r="P89">
            <v>8</v>
          </cell>
          <cell r="Q89"/>
          <cell r="R89"/>
          <cell r="S89">
            <v>8</v>
          </cell>
          <cell r="T89">
            <v>8</v>
          </cell>
          <cell r="U89">
            <v>8</v>
          </cell>
          <cell r="V89">
            <v>8</v>
          </cell>
          <cell r="W89">
            <v>8</v>
          </cell>
          <cell r="X89">
            <v>8</v>
          </cell>
        </row>
        <row r="90">
          <cell r="A90"/>
          <cell r="N90"/>
          <cell r="O90" t="str">
            <v>DBA</v>
          </cell>
          <cell r="P90">
            <v>0</v>
          </cell>
          <cell r="Q90"/>
          <cell r="R90"/>
          <cell r="S90">
            <v>6</v>
          </cell>
          <cell r="T90">
            <v>6</v>
          </cell>
          <cell r="U90">
            <v>6</v>
          </cell>
          <cell r="V90">
            <v>6</v>
          </cell>
          <cell r="W90">
            <v>6</v>
          </cell>
          <cell r="X90">
            <v>6</v>
          </cell>
        </row>
        <row r="91">
          <cell r="A91"/>
          <cell r="N91"/>
          <cell r="O91" t="str">
            <v>CUSS</v>
          </cell>
          <cell r="P91">
            <v>0</v>
          </cell>
          <cell r="Q91"/>
          <cell r="R91"/>
          <cell r="S91">
            <v>5</v>
          </cell>
          <cell r="T91">
            <v>5</v>
          </cell>
          <cell r="U91">
            <v>5</v>
          </cell>
          <cell r="V91">
            <v>5</v>
          </cell>
          <cell r="W91">
            <v>5</v>
          </cell>
          <cell r="X91">
            <v>5</v>
          </cell>
        </row>
        <row r="92">
          <cell r="A92"/>
          <cell r="N92" t="str">
            <v>GB 14 (2C)</v>
          </cell>
          <cell r="O92" t="str">
            <v>Banques</v>
          </cell>
          <cell r="P92">
            <v>8</v>
          </cell>
          <cell r="Q92"/>
          <cell r="R92"/>
          <cell r="S92">
            <v>8</v>
          </cell>
          <cell r="T92">
            <v>8</v>
          </cell>
          <cell r="U92">
            <v>8</v>
          </cell>
          <cell r="V92">
            <v>8</v>
          </cell>
          <cell r="W92">
            <v>8</v>
          </cell>
          <cell r="X92">
            <v>8</v>
          </cell>
        </row>
        <row r="93">
          <cell r="A93"/>
          <cell r="N93"/>
          <cell r="O93" t="str">
            <v>DBA</v>
          </cell>
          <cell r="P93">
            <v>0</v>
          </cell>
          <cell r="Q93"/>
          <cell r="R93"/>
          <cell r="S93">
            <v>6</v>
          </cell>
          <cell r="T93">
            <v>6</v>
          </cell>
          <cell r="U93">
            <v>6</v>
          </cell>
          <cell r="V93">
            <v>6</v>
          </cell>
          <cell r="W93">
            <v>6</v>
          </cell>
          <cell r="X93">
            <v>6</v>
          </cell>
        </row>
        <row r="94">
          <cell r="A94"/>
          <cell r="N94"/>
          <cell r="O94" t="str">
            <v>CUSS</v>
          </cell>
          <cell r="P94">
            <v>0</v>
          </cell>
          <cell r="Q94"/>
          <cell r="R94"/>
          <cell r="S94">
            <v>9</v>
          </cell>
          <cell r="T94">
            <v>9</v>
          </cell>
          <cell r="U94">
            <v>9</v>
          </cell>
          <cell r="V94">
            <v>9</v>
          </cell>
          <cell r="W94">
            <v>9</v>
          </cell>
          <cell r="X94">
            <v>9</v>
          </cell>
        </row>
        <row r="95">
          <cell r="A95"/>
          <cell r="N95" t="str">
            <v>GB 15 (2C)</v>
          </cell>
          <cell r="O95" t="str">
            <v>Banques</v>
          </cell>
          <cell r="P95">
            <v>14</v>
          </cell>
          <cell r="Q95"/>
          <cell r="R95"/>
          <cell r="S95">
            <v>14</v>
          </cell>
          <cell r="T95">
            <v>14</v>
          </cell>
          <cell r="U95">
            <v>14</v>
          </cell>
          <cell r="V95">
            <v>14</v>
          </cell>
          <cell r="W95">
            <v>14</v>
          </cell>
          <cell r="X95">
            <v>14</v>
          </cell>
        </row>
        <row r="96">
          <cell r="A96"/>
          <cell r="N96"/>
          <cell r="O96" t="str">
            <v>DBA</v>
          </cell>
          <cell r="P96">
            <v>0</v>
          </cell>
          <cell r="Q96"/>
          <cell r="R96"/>
          <cell r="S96">
            <v>10</v>
          </cell>
          <cell r="T96">
            <v>10</v>
          </cell>
          <cell r="U96">
            <v>10</v>
          </cell>
          <cell r="V96">
            <v>10</v>
          </cell>
          <cell r="W96">
            <v>10</v>
          </cell>
          <cell r="X96">
            <v>10</v>
          </cell>
        </row>
        <row r="97">
          <cell r="A97"/>
          <cell r="N97"/>
          <cell r="O97" t="str">
            <v>CUSS</v>
          </cell>
          <cell r="P97">
            <v>0</v>
          </cell>
          <cell r="Q97"/>
          <cell r="R97"/>
          <cell r="S97">
            <v>9</v>
          </cell>
          <cell r="T97">
            <v>9</v>
          </cell>
          <cell r="U97">
            <v>9</v>
          </cell>
          <cell r="V97">
            <v>9</v>
          </cell>
          <cell r="W97">
            <v>9</v>
          </cell>
          <cell r="X97">
            <v>9</v>
          </cell>
        </row>
        <row r="98">
          <cell r="A98"/>
          <cell r="N98" t="str">
            <v>GB 16 (2C)</v>
          </cell>
          <cell r="O98" t="str">
            <v>Banques</v>
          </cell>
          <cell r="P98">
            <v>8</v>
          </cell>
          <cell r="Q98"/>
          <cell r="R98"/>
          <cell r="S98">
            <v>8</v>
          </cell>
          <cell r="T98">
            <v>8</v>
          </cell>
          <cell r="U98">
            <v>8</v>
          </cell>
          <cell r="V98">
            <v>8</v>
          </cell>
          <cell r="W98">
            <v>8</v>
          </cell>
          <cell r="X98">
            <v>8</v>
          </cell>
        </row>
        <row r="99">
          <cell r="A99"/>
          <cell r="N99"/>
          <cell r="O99" t="str">
            <v>DBA</v>
          </cell>
          <cell r="P99">
            <v>0</v>
          </cell>
          <cell r="Q99"/>
          <cell r="R99"/>
          <cell r="S99">
            <v>6</v>
          </cell>
          <cell r="T99">
            <v>6</v>
          </cell>
          <cell r="U99">
            <v>6</v>
          </cell>
          <cell r="V99">
            <v>6</v>
          </cell>
          <cell r="W99">
            <v>6</v>
          </cell>
          <cell r="X99">
            <v>6</v>
          </cell>
        </row>
        <row r="100">
          <cell r="A100"/>
          <cell r="N100"/>
          <cell r="O100" t="str">
            <v>CUSS</v>
          </cell>
          <cell r="P100">
            <v>0</v>
          </cell>
          <cell r="Q100"/>
          <cell r="R100"/>
          <cell r="S100">
            <v>5</v>
          </cell>
          <cell r="T100">
            <v>5</v>
          </cell>
          <cell r="U100">
            <v>5</v>
          </cell>
          <cell r="V100">
            <v>5</v>
          </cell>
          <cell r="W100">
            <v>5</v>
          </cell>
          <cell r="X100">
            <v>5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143</v>
          </cell>
          <cell r="Q101">
            <v>0</v>
          </cell>
          <cell r="R101">
            <v>0</v>
          </cell>
          <cell r="S101">
            <v>105</v>
          </cell>
          <cell r="T101">
            <v>71</v>
          </cell>
          <cell r="U101">
            <v>71</v>
          </cell>
          <cell r="V101">
            <v>144</v>
          </cell>
          <cell r="W101">
            <v>144</v>
          </cell>
          <cell r="X101">
            <v>144</v>
          </cell>
        </row>
        <row r="102">
          <cell r="A102"/>
          <cell r="N102"/>
          <cell r="O102" t="str">
            <v>NB DBA</v>
          </cell>
          <cell r="P102">
            <v>4</v>
          </cell>
          <cell r="Q102">
            <v>0</v>
          </cell>
          <cell r="R102">
            <v>0</v>
          </cell>
          <cell r="S102">
            <v>44</v>
          </cell>
          <cell r="T102">
            <v>44</v>
          </cell>
          <cell r="U102">
            <v>44</v>
          </cell>
          <cell r="V102">
            <v>98</v>
          </cell>
          <cell r="W102">
            <v>98</v>
          </cell>
          <cell r="X102">
            <v>98</v>
          </cell>
        </row>
        <row r="103">
          <cell r="A103"/>
          <cell r="N103"/>
          <cell r="O103" t="str">
            <v>NB CUSS</v>
          </cell>
          <cell r="P103">
            <v>48</v>
          </cell>
          <cell r="Q103">
            <v>0</v>
          </cell>
          <cell r="R103">
            <v>0</v>
          </cell>
          <cell r="S103">
            <v>80</v>
          </cell>
          <cell r="T103">
            <v>46</v>
          </cell>
          <cell r="U103">
            <v>46</v>
          </cell>
          <cell r="V103">
            <v>109</v>
          </cell>
          <cell r="W103">
            <v>109</v>
          </cell>
          <cell r="X103">
            <v>109</v>
          </cell>
        </row>
        <row r="104">
          <cell r="A104"/>
        </row>
        <row r="105">
          <cell r="A105"/>
          <cell r="N105" t="str">
            <v>Débit</v>
          </cell>
          <cell r="P105">
            <v>23</v>
          </cell>
          <cell r="Q105">
            <v>23</v>
          </cell>
          <cell r="R105">
            <v>23</v>
          </cell>
          <cell r="S105">
            <v>23</v>
          </cell>
          <cell r="T105">
            <v>23</v>
          </cell>
          <cell r="U105">
            <v>23</v>
          </cell>
          <cell r="V105">
            <v>23</v>
          </cell>
          <cell r="W105">
            <v>23</v>
          </cell>
          <cell r="X105">
            <v>23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2795.65</v>
          </cell>
          <cell r="Q109">
            <v>0</v>
          </cell>
          <cell r="R109">
            <v>0</v>
          </cell>
          <cell r="S109">
            <v>2052.75</v>
          </cell>
          <cell r="T109">
            <v>1388.05</v>
          </cell>
          <cell r="U109">
            <v>1388.05</v>
          </cell>
          <cell r="V109">
            <v>2815.2</v>
          </cell>
          <cell r="W109">
            <v>2815.2</v>
          </cell>
          <cell r="X109">
            <v>2815.2</v>
          </cell>
        </row>
        <row r="110">
          <cell r="A110"/>
        </row>
        <row r="111">
          <cell r="A111"/>
        </row>
        <row r="112">
          <cell r="A112"/>
        </row>
        <row r="113">
          <cell r="A113"/>
          <cell r="N113" t="str">
            <v>T2AC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T2A</v>
          </cell>
          <cell r="O114"/>
          <cell r="S114">
            <v>460</v>
          </cell>
          <cell r="V114">
            <v>690</v>
          </cell>
          <cell r="W114">
            <v>690</v>
          </cell>
          <cell r="X114">
            <v>690</v>
          </cell>
        </row>
        <row r="115">
          <cell r="A115"/>
          <cell r="N115" t="str">
            <v>T2C</v>
          </cell>
          <cell r="O115"/>
          <cell r="P115"/>
          <cell r="Q115"/>
          <cell r="R115"/>
          <cell r="S115">
            <v>845</v>
          </cell>
          <cell r="T115">
            <v>845</v>
          </cell>
          <cell r="U115">
            <v>845</v>
          </cell>
          <cell r="V115">
            <v>845</v>
          </cell>
          <cell r="W115">
            <v>845</v>
          </cell>
          <cell r="X115">
            <v>845</v>
          </cell>
        </row>
        <row r="116">
          <cell r="A116"/>
          <cell r="N116" t="str">
            <v>SURFACE GLOBAL</v>
          </cell>
          <cell r="O116"/>
          <cell r="P116">
            <v>0</v>
          </cell>
          <cell r="Q116">
            <v>0</v>
          </cell>
          <cell r="R116">
            <v>0</v>
          </cell>
          <cell r="S116">
            <v>1305</v>
          </cell>
          <cell r="T116">
            <v>845</v>
          </cell>
          <cell r="U116">
            <v>845</v>
          </cell>
          <cell r="V116">
            <v>1535</v>
          </cell>
          <cell r="W116">
            <v>1535</v>
          </cell>
          <cell r="X116">
            <v>1535</v>
          </cell>
        </row>
        <row r="117">
          <cell r="A117"/>
          <cell r="N117"/>
          <cell r="O117"/>
        </row>
        <row r="118">
          <cell r="A118"/>
          <cell r="N118" t="str">
            <v>Temps d'attente maximum (min)</v>
          </cell>
          <cell r="O118"/>
          <cell r="P118">
            <v>15</v>
          </cell>
          <cell r="Q118">
            <v>15</v>
          </cell>
          <cell r="R118">
            <v>15</v>
          </cell>
          <cell r="S118">
            <v>15</v>
          </cell>
          <cell r="T118">
            <v>15</v>
          </cell>
          <cell r="U118">
            <v>15</v>
          </cell>
          <cell r="V118">
            <v>15</v>
          </cell>
          <cell r="W118">
            <v>15</v>
          </cell>
          <cell r="X118">
            <v>15</v>
          </cell>
        </row>
        <row r="119">
          <cell r="A119"/>
          <cell r="N119" t="str">
            <v>Standard IATA C (m2/PAX)</v>
          </cell>
          <cell r="O119"/>
          <cell r="P119">
            <v>1.4</v>
          </cell>
          <cell r="Q119">
            <v>1.4</v>
          </cell>
          <cell r="R119">
            <v>1.4</v>
          </cell>
          <cell r="S119">
            <v>1.4</v>
          </cell>
          <cell r="T119">
            <v>1.4</v>
          </cell>
          <cell r="U119">
            <v>1.4</v>
          </cell>
          <cell r="V119">
            <v>1.4</v>
          </cell>
          <cell r="W119">
            <v>1.4</v>
          </cell>
          <cell r="X119">
            <v>1.4</v>
          </cell>
        </row>
        <row r="120">
          <cell r="A120"/>
          <cell r="N120"/>
          <cell r="O120"/>
        </row>
        <row r="121">
          <cell r="A121"/>
          <cell r="N121" t="str">
            <v>Attente Enregistrement</v>
          </cell>
          <cell r="O121"/>
          <cell r="P121">
            <v>0</v>
          </cell>
          <cell r="Q121">
            <v>0</v>
          </cell>
          <cell r="R121">
            <v>0</v>
          </cell>
          <cell r="S121">
            <v>3728.5714285714289</v>
          </cell>
          <cell r="T121">
            <v>2414.2857142857142</v>
          </cell>
          <cell r="U121">
            <v>2414.2857142857142</v>
          </cell>
          <cell r="V121">
            <v>4385.7142857142862</v>
          </cell>
          <cell r="W121">
            <v>4385.7142857142862</v>
          </cell>
          <cell r="X121">
            <v>4385.7142857142862</v>
          </cell>
        </row>
        <row r="122">
          <cell r="A122"/>
        </row>
        <row r="123">
          <cell r="A123"/>
        </row>
        <row r="124">
          <cell r="A124"/>
        </row>
        <row r="126">
          <cell r="A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</row>
        <row r="127">
          <cell r="A127" t="str">
            <v>Tri Bagage</v>
          </cell>
          <cell r="O127" t="str">
            <v>T2AC - PFT NET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 t="str">
            <v>T2A</v>
          </cell>
          <cell r="P128">
            <v>92</v>
          </cell>
          <cell r="S128">
            <v>52</v>
          </cell>
          <cell r="T128">
            <v>0</v>
          </cell>
          <cell r="U128">
            <v>58</v>
          </cell>
          <cell r="V128">
            <v>58</v>
          </cell>
          <cell r="W128"/>
          <cell r="X128"/>
        </row>
        <row r="129">
          <cell r="A129"/>
          <cell r="O129" t="str">
            <v>T2C</v>
          </cell>
          <cell r="P129">
            <v>82</v>
          </cell>
          <cell r="S129">
            <v>90</v>
          </cell>
          <cell r="T129">
            <v>90</v>
          </cell>
          <cell r="U129">
            <v>90</v>
          </cell>
          <cell r="V129">
            <v>90</v>
          </cell>
          <cell r="W129"/>
          <cell r="X129"/>
        </row>
        <row r="130">
          <cell r="A130"/>
          <cell r="O130" t="str">
            <v>Total</v>
          </cell>
          <cell r="P130">
            <v>174</v>
          </cell>
          <cell r="Q130">
            <v>0</v>
          </cell>
          <cell r="R130">
            <v>0</v>
          </cell>
          <cell r="S130">
            <v>142</v>
          </cell>
          <cell r="T130">
            <v>90</v>
          </cell>
          <cell r="U130">
            <v>148</v>
          </cell>
          <cell r="V130">
            <v>148</v>
          </cell>
          <cell r="W130">
            <v>0</v>
          </cell>
          <cell r="X130">
            <v>0</v>
          </cell>
        </row>
        <row r="131">
          <cell r="A131"/>
        </row>
        <row r="132">
          <cell r="A132"/>
          <cell r="O132" t="str">
            <v>PFT / Banques</v>
          </cell>
          <cell r="P132" t="str">
            <v>W22</v>
          </cell>
          <cell r="Q132" t="str">
            <v>S23</v>
          </cell>
          <cell r="R132" t="str">
            <v>W23</v>
          </cell>
          <cell r="S132" t="str">
            <v>S24</v>
          </cell>
          <cell r="T132" t="str">
            <v>W24</v>
          </cell>
          <cell r="U132" t="str">
            <v>S25</v>
          </cell>
          <cell r="V132" t="str">
            <v>W25</v>
          </cell>
          <cell r="W132" t="str">
            <v>S26</v>
          </cell>
          <cell r="X132"/>
        </row>
        <row r="133">
          <cell r="A133"/>
          <cell r="O133" t="str">
            <v>T2A</v>
          </cell>
          <cell r="P133">
            <v>1.2777777777777777</v>
          </cell>
          <cell r="Q133" t="str">
            <v>-</v>
          </cell>
          <cell r="R133" t="str">
            <v>-</v>
          </cell>
          <cell r="S133">
            <v>1.5294117647058822</v>
          </cell>
          <cell r="T133" t="str">
            <v>-</v>
          </cell>
          <cell r="U133" t="str">
            <v>-</v>
          </cell>
          <cell r="V133">
            <v>0.79452054794520544</v>
          </cell>
          <cell r="W133">
            <v>0</v>
          </cell>
          <cell r="X133">
            <v>0</v>
          </cell>
        </row>
        <row r="134">
          <cell r="A134"/>
          <cell r="O134" t="str">
            <v>T2C</v>
          </cell>
          <cell r="P134">
            <v>1.1549295774647887</v>
          </cell>
          <cell r="Q134" t="str">
            <v>-</v>
          </cell>
          <cell r="R134" t="str">
            <v>-</v>
          </cell>
          <cell r="S134">
            <v>1.267605633802817</v>
          </cell>
          <cell r="T134">
            <v>1.267605633802817</v>
          </cell>
          <cell r="U134">
            <v>1.267605633802817</v>
          </cell>
          <cell r="V134">
            <v>1.267605633802817</v>
          </cell>
          <cell r="W134">
            <v>0</v>
          </cell>
          <cell r="X134">
            <v>0</v>
          </cell>
        </row>
        <row r="135">
          <cell r="A135"/>
          <cell r="O135" t="str">
            <v>Global</v>
          </cell>
          <cell r="P135">
            <v>1.2167832167832169</v>
          </cell>
          <cell r="Q135" t="str">
            <v>-</v>
          </cell>
          <cell r="R135" t="str">
            <v>-</v>
          </cell>
          <cell r="S135">
            <v>1.3523809523809525</v>
          </cell>
          <cell r="T135">
            <v>1.267605633802817</v>
          </cell>
          <cell r="U135">
            <v>2.084507042253521</v>
          </cell>
          <cell r="V135">
            <v>1.0277777777777777</v>
          </cell>
          <cell r="W135">
            <v>0</v>
          </cell>
          <cell r="X135">
            <v>0</v>
          </cell>
        </row>
        <row r="137">
          <cell r="A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 t="str">
            <v>Frontières DEP</v>
          </cell>
          <cell r="H138" t="str">
            <v>Sans EES</v>
          </cell>
          <cell r="I138"/>
          <cell r="J138"/>
          <cell r="K138"/>
          <cell r="L138"/>
        </row>
        <row r="139">
          <cell r="A139"/>
          <cell r="H139" t="str">
            <v>QP Passeports</v>
          </cell>
          <cell r="I139"/>
          <cell r="J139" t="str">
            <v>T2AC DEP</v>
          </cell>
          <cell r="K139" t="str">
            <v>Aubette</v>
          </cell>
          <cell r="L139" t="str">
            <v>Parafe</v>
          </cell>
          <cell r="M139"/>
          <cell r="N139"/>
          <cell r="O139" t="str">
            <v>T2AC - PAF DEP</v>
          </cell>
          <cell r="P139" t="str">
            <v>W22</v>
          </cell>
          <cell r="Q139" t="str">
            <v>S23</v>
          </cell>
          <cell r="R139" t="str">
            <v>W23</v>
          </cell>
          <cell r="S139" t="str">
            <v>S24</v>
          </cell>
          <cell r="T139" t="str">
            <v>W24</v>
          </cell>
          <cell r="U139" t="str">
            <v>S25</v>
          </cell>
          <cell r="V139" t="str">
            <v>W25</v>
          </cell>
          <cell r="W139" t="str">
            <v>S26</v>
          </cell>
          <cell r="X139" t="str">
            <v>W26</v>
          </cell>
          <cell r="Z139"/>
        </row>
        <row r="140">
          <cell r="A140"/>
          <cell r="H140" t="str">
            <v>UE</v>
          </cell>
          <cell r="I140">
            <v>0.48</v>
          </cell>
          <cell r="J140" t="str">
            <v>Part modale</v>
          </cell>
          <cell r="K140"/>
          <cell r="L140"/>
          <cell r="N140"/>
          <cell r="Z140"/>
        </row>
        <row r="141">
          <cell r="A141"/>
          <cell r="H141" t="str">
            <v>RPT61</v>
          </cell>
          <cell r="I141">
            <v>0.41</v>
          </cell>
          <cell r="J141" t="str">
            <v>UE</v>
          </cell>
          <cell r="K141">
            <v>0.4</v>
          </cell>
          <cell r="L141">
            <v>0.6</v>
          </cell>
          <cell r="M141"/>
          <cell r="N141"/>
          <cell r="O141" t="str">
            <v>NB position aubette</v>
          </cell>
          <cell r="P141">
            <v>12</v>
          </cell>
          <cell r="Q141">
            <v>12</v>
          </cell>
          <cell r="R141">
            <v>12</v>
          </cell>
          <cell r="S141">
            <v>14</v>
          </cell>
          <cell r="T141">
            <v>14</v>
          </cell>
          <cell r="U141">
            <v>14</v>
          </cell>
          <cell r="V141">
            <v>14</v>
          </cell>
          <cell r="W141">
            <v>14</v>
          </cell>
          <cell r="X141">
            <v>14</v>
          </cell>
          <cell r="Z141"/>
        </row>
        <row r="142">
          <cell r="A142"/>
          <cell r="H142" t="str">
            <v>Autres TP</v>
          </cell>
          <cell r="I142">
            <v>0.11000000000000004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N142"/>
          <cell r="O142" t="str">
            <v>Débit unitaire</v>
          </cell>
          <cell r="P142">
            <v>99</v>
          </cell>
          <cell r="Q142">
            <v>104</v>
          </cell>
          <cell r="R142">
            <v>104</v>
          </cell>
          <cell r="S142">
            <v>104</v>
          </cell>
          <cell r="T142">
            <v>104</v>
          </cell>
          <cell r="U142">
            <v>104</v>
          </cell>
          <cell r="V142">
            <v>104</v>
          </cell>
          <cell r="W142">
            <v>104</v>
          </cell>
          <cell r="X142">
            <v>104</v>
          </cell>
          <cell r="Z142"/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N143"/>
          <cell r="O143" t="str">
            <v>Débit Aubette</v>
          </cell>
          <cell r="P143">
            <v>1188</v>
          </cell>
          <cell r="Q143">
            <v>1248</v>
          </cell>
          <cell r="R143">
            <v>1248</v>
          </cell>
          <cell r="S143">
            <v>1456</v>
          </cell>
          <cell r="T143">
            <v>1456</v>
          </cell>
          <cell r="U143">
            <v>1456</v>
          </cell>
          <cell r="V143">
            <v>1456</v>
          </cell>
          <cell r="W143">
            <v>1456</v>
          </cell>
          <cell r="X143">
            <v>1456</v>
          </cell>
          <cell r="Z143"/>
        </row>
        <row r="144">
          <cell r="A144"/>
          <cell r="J144" t="str">
            <v>TTU</v>
          </cell>
          <cell r="K144"/>
          <cell r="L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O145" t="str">
            <v>NB Parafes</v>
          </cell>
          <cell r="P145">
            <v>10</v>
          </cell>
          <cell r="Q145">
            <v>0</v>
          </cell>
          <cell r="R145">
            <v>12</v>
          </cell>
          <cell r="S145">
            <v>12</v>
          </cell>
          <cell r="T145">
            <v>12</v>
          </cell>
          <cell r="U145">
            <v>12</v>
          </cell>
          <cell r="V145">
            <v>12</v>
          </cell>
          <cell r="W145">
            <v>12</v>
          </cell>
          <cell r="X145">
            <v>12</v>
          </cell>
        </row>
        <row r="146">
          <cell r="A146"/>
          <cell r="J146" t="str">
            <v>RPT61</v>
          </cell>
          <cell r="K146">
            <v>39.5</v>
          </cell>
          <cell r="L146">
            <v>31</v>
          </cell>
          <cell r="O146" t="str">
            <v>Débit unitaire</v>
          </cell>
          <cell r="P146">
            <v>116</v>
          </cell>
          <cell r="Q146">
            <v>116</v>
          </cell>
          <cell r="R146">
            <v>116</v>
          </cell>
          <cell r="S146">
            <v>116</v>
          </cell>
          <cell r="T146">
            <v>116</v>
          </cell>
          <cell r="U146">
            <v>116</v>
          </cell>
          <cell r="V146">
            <v>116</v>
          </cell>
          <cell r="W146">
            <v>116</v>
          </cell>
          <cell r="X146">
            <v>116</v>
          </cell>
        </row>
        <row r="147">
          <cell r="A147"/>
          <cell r="J147" t="str">
            <v>Autres TP</v>
          </cell>
          <cell r="K147">
            <v>39.5</v>
          </cell>
          <cell r="L147"/>
          <cell r="M147"/>
          <cell r="O147" t="str">
            <v>Débit Parafe</v>
          </cell>
          <cell r="P147">
            <v>1160</v>
          </cell>
          <cell r="Q147">
            <v>0</v>
          </cell>
          <cell r="R147">
            <v>1392</v>
          </cell>
          <cell r="S147">
            <v>1392</v>
          </cell>
          <cell r="T147">
            <v>1392</v>
          </cell>
          <cell r="U147">
            <v>1392</v>
          </cell>
          <cell r="V147">
            <v>1392</v>
          </cell>
          <cell r="W147">
            <v>1392</v>
          </cell>
          <cell r="X147">
            <v>1392</v>
          </cell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  <cell r="W148"/>
          <cell r="X148"/>
        </row>
        <row r="149">
          <cell r="A149"/>
          <cell r="J149" t="str">
            <v>PM</v>
          </cell>
          <cell r="K149">
            <v>0.46600000000000003</v>
          </cell>
          <cell r="L149">
            <v>0.53399999999999992</v>
          </cell>
          <cell r="M149"/>
          <cell r="O149" t="str">
            <v>Débit PAF DEP</v>
          </cell>
          <cell r="P149">
            <v>2348</v>
          </cell>
          <cell r="Q149">
            <v>1248</v>
          </cell>
          <cell r="R149">
            <v>2640</v>
          </cell>
          <cell r="S149">
            <v>2848</v>
          </cell>
          <cell r="T149">
            <v>2848</v>
          </cell>
          <cell r="U149">
            <v>2848</v>
          </cell>
          <cell r="V149">
            <v>2848</v>
          </cell>
          <cell r="W149">
            <v>2848</v>
          </cell>
          <cell r="X149">
            <v>2848</v>
          </cell>
        </row>
        <row r="150">
          <cell r="A150"/>
          <cell r="J150" t="str">
            <v>TTU</v>
          </cell>
          <cell r="K150">
            <v>34.761802575107296</v>
          </cell>
          <cell r="L150">
            <v>31.000000000000004</v>
          </cell>
          <cell r="M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J151" t="str">
            <v xml:space="preserve">Débit unitaire </v>
          </cell>
          <cell r="K151">
            <v>103.56194826841163</v>
          </cell>
          <cell r="L151">
            <v>116.1290322580645</v>
          </cell>
          <cell r="M151"/>
          <cell r="P151"/>
          <cell r="Q151"/>
          <cell r="R151"/>
          <cell r="S151"/>
          <cell r="T151"/>
          <cell r="U151"/>
          <cell r="V151"/>
          <cell r="W151"/>
          <cell r="X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  <cell r="W152"/>
          <cell r="X152"/>
        </row>
        <row r="153">
          <cell r="A153"/>
          <cell r="J153"/>
          <cell r="K153"/>
          <cell r="L153"/>
          <cell r="M153"/>
          <cell r="O153" t="str">
            <v>T2AC - Surface PAF DEP</v>
          </cell>
          <cell r="P153" t="str">
            <v>W22</v>
          </cell>
          <cell r="Q153" t="str">
            <v>S23</v>
          </cell>
          <cell r="R153" t="str">
            <v>W23</v>
          </cell>
          <cell r="S153" t="str">
            <v>S24</v>
          </cell>
          <cell r="T153" t="str">
            <v>W24</v>
          </cell>
          <cell r="U153" t="str">
            <v>S25</v>
          </cell>
          <cell r="V153" t="str">
            <v>W25</v>
          </cell>
          <cell r="W153" t="str">
            <v>S26</v>
          </cell>
          <cell r="X153" t="str">
            <v>W26</v>
          </cell>
        </row>
        <row r="154">
          <cell r="A154"/>
          <cell r="H154" t="str">
            <v>Avec EES</v>
          </cell>
          <cell r="I154"/>
          <cell r="J154"/>
          <cell r="K154"/>
          <cell r="L154"/>
          <cell r="O154"/>
        </row>
        <row r="155">
          <cell r="A155"/>
          <cell r="H155" t="str">
            <v>QP Passeports</v>
          </cell>
          <cell r="I155"/>
          <cell r="J155" t="str">
            <v>T2AC DEP</v>
          </cell>
          <cell r="K155" t="str">
            <v>Aubette</v>
          </cell>
          <cell r="L155" t="str">
            <v>Parafe</v>
          </cell>
          <cell r="M155"/>
          <cell r="O155" t="str">
            <v>SURFACE GLOBAL</v>
          </cell>
          <cell r="P155">
            <v>475</v>
          </cell>
          <cell r="Q155">
            <v>475</v>
          </cell>
          <cell r="R155">
            <v>475</v>
          </cell>
          <cell r="S155">
            <v>560</v>
          </cell>
          <cell r="T155">
            <v>560</v>
          </cell>
          <cell r="U155">
            <v>560</v>
          </cell>
          <cell r="V155">
            <v>560</v>
          </cell>
          <cell r="W155">
            <v>560</v>
          </cell>
          <cell r="X155">
            <v>560</v>
          </cell>
        </row>
        <row r="156">
          <cell r="A156"/>
          <cell r="H156" t="str">
            <v>UE</v>
          </cell>
          <cell r="I156">
            <v>0.48</v>
          </cell>
          <cell r="J156" t="str">
            <v>Part modale</v>
          </cell>
          <cell r="K156"/>
          <cell r="L156"/>
        </row>
        <row r="157">
          <cell r="A157"/>
          <cell r="H157" t="str">
            <v>RPT61</v>
          </cell>
          <cell r="I157">
            <v>0.41</v>
          </cell>
          <cell r="J157" t="str">
            <v>UE</v>
          </cell>
          <cell r="K157">
            <v>0.4</v>
          </cell>
          <cell r="L157">
            <v>0.6</v>
          </cell>
          <cell r="M157"/>
          <cell r="O157" t="str">
            <v>Temps d'attente maximum (min)</v>
          </cell>
          <cell r="P157">
            <v>20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20</v>
          </cell>
          <cell r="V157">
            <v>20</v>
          </cell>
          <cell r="W157">
            <v>20</v>
          </cell>
          <cell r="X157">
            <v>20</v>
          </cell>
        </row>
        <row r="158">
          <cell r="A158"/>
          <cell r="H158" t="str">
            <v>Autres TP</v>
          </cell>
          <cell r="I158">
            <v>0.11000000000000004</v>
          </cell>
          <cell r="J158" t="str">
            <v>RPT61</v>
          </cell>
          <cell r="K158">
            <v>0.4</v>
          </cell>
          <cell r="L158">
            <v>0.6</v>
          </cell>
          <cell r="M158"/>
          <cell r="O158" t="str">
            <v>Standard IATA C (m2/PAX)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</row>
        <row r="159">
          <cell r="A159"/>
          <cell r="I159"/>
          <cell r="J159" t="str">
            <v>Autres TP</v>
          </cell>
          <cell r="K159">
            <v>1</v>
          </cell>
          <cell r="L159"/>
          <cell r="M159"/>
        </row>
        <row r="160">
          <cell r="A160"/>
          <cell r="J160" t="str">
            <v>TTU</v>
          </cell>
          <cell r="K160"/>
          <cell r="L160"/>
          <cell r="O160" t="str">
            <v>Attente PAF DEP</v>
          </cell>
          <cell r="P160">
            <v>1425</v>
          </cell>
          <cell r="Q160">
            <v>1425</v>
          </cell>
          <cell r="R160">
            <v>1425</v>
          </cell>
          <cell r="S160">
            <v>1680</v>
          </cell>
          <cell r="T160">
            <v>1680</v>
          </cell>
          <cell r="U160">
            <v>1680</v>
          </cell>
          <cell r="V160">
            <v>1680</v>
          </cell>
          <cell r="W160">
            <v>1680</v>
          </cell>
          <cell r="X160">
            <v>1680</v>
          </cell>
        </row>
        <row r="161">
          <cell r="A161"/>
          <cell r="J161" t="str">
            <v>UE</v>
          </cell>
          <cell r="K161">
            <v>28</v>
          </cell>
          <cell r="L161">
            <v>31</v>
          </cell>
          <cell r="M161"/>
          <cell r="P161"/>
          <cell r="Q161"/>
          <cell r="R161"/>
          <cell r="S161"/>
          <cell r="T161"/>
          <cell r="U161"/>
          <cell r="V161"/>
          <cell r="W161"/>
          <cell r="X161"/>
        </row>
        <row r="162">
          <cell r="A162"/>
          <cell r="J162" t="str">
            <v>RPT61</v>
          </cell>
          <cell r="K162">
            <v>39</v>
          </cell>
          <cell r="L162">
            <v>31</v>
          </cell>
          <cell r="P162"/>
          <cell r="Q162"/>
          <cell r="R162"/>
          <cell r="S162"/>
          <cell r="T162"/>
          <cell r="U162"/>
          <cell r="V162"/>
          <cell r="W162"/>
          <cell r="X162"/>
        </row>
        <row r="163">
          <cell r="A163"/>
          <cell r="J163" t="str">
            <v>Autres TP</v>
          </cell>
          <cell r="K163">
            <v>39</v>
          </cell>
          <cell r="L163"/>
          <cell r="M163"/>
          <cell r="P163"/>
          <cell r="Q163"/>
          <cell r="R163"/>
          <cell r="S163"/>
          <cell r="T163"/>
          <cell r="U163"/>
          <cell r="V163"/>
          <cell r="W163"/>
          <cell r="X163"/>
        </row>
        <row r="164">
          <cell r="A164"/>
          <cell r="J164" t="str">
            <v>Résultante unitaire</v>
          </cell>
          <cell r="K164"/>
          <cell r="L164"/>
          <cell r="P164"/>
          <cell r="Q164"/>
          <cell r="R164"/>
          <cell r="S164"/>
          <cell r="T164"/>
          <cell r="U164"/>
          <cell r="V164"/>
          <cell r="W164"/>
          <cell r="X164"/>
        </row>
        <row r="165">
          <cell r="A165"/>
          <cell r="J165" t="str">
            <v>PM</v>
          </cell>
          <cell r="K165">
            <v>0.46600000000000003</v>
          </cell>
          <cell r="L165">
            <v>0.53399999999999992</v>
          </cell>
          <cell r="M165"/>
          <cell r="P165"/>
          <cell r="Q165"/>
          <cell r="R165"/>
          <cell r="S165"/>
          <cell r="T165"/>
          <cell r="U165"/>
          <cell r="V165"/>
          <cell r="W165"/>
          <cell r="X165"/>
        </row>
        <row r="166">
          <cell r="A166"/>
          <cell r="J166" t="str">
            <v>TTU</v>
          </cell>
          <cell r="K166">
            <v>34.467811158798284</v>
          </cell>
          <cell r="L166">
            <v>31.000000000000004</v>
          </cell>
          <cell r="M166"/>
          <cell r="P166"/>
          <cell r="Q166"/>
          <cell r="R166"/>
          <cell r="S166"/>
          <cell r="T166"/>
          <cell r="U166"/>
          <cell r="V166"/>
          <cell r="W166"/>
          <cell r="X166"/>
        </row>
        <row r="167">
          <cell r="A167"/>
          <cell r="J167" t="str">
            <v xml:space="preserve">Débit unitaire </v>
          </cell>
          <cell r="K167">
            <v>104.44527456107583</v>
          </cell>
          <cell r="L167">
            <v>116.1290322580645</v>
          </cell>
          <cell r="M167"/>
          <cell r="P167"/>
          <cell r="Q167"/>
          <cell r="R167"/>
          <cell r="S167"/>
          <cell r="T167"/>
          <cell r="U167"/>
          <cell r="V167"/>
          <cell r="W167"/>
          <cell r="X167"/>
        </row>
        <row r="168">
          <cell r="A168"/>
          <cell r="I168"/>
          <cell r="J168"/>
          <cell r="K168"/>
          <cell r="L168"/>
          <cell r="M168"/>
          <cell r="P168"/>
          <cell r="Q168"/>
          <cell r="R168"/>
          <cell r="S168"/>
          <cell r="T168"/>
          <cell r="U168"/>
          <cell r="V168"/>
          <cell r="W168"/>
          <cell r="X168"/>
        </row>
        <row r="170">
          <cell r="A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</row>
        <row r="171">
          <cell r="A171" t="str">
            <v>PIF</v>
          </cell>
        </row>
        <row r="172">
          <cell r="A172"/>
          <cell r="H172"/>
          <cell r="I172"/>
          <cell r="O172" t="str">
            <v>T2AC - PIF</v>
          </cell>
          <cell r="P172" t="str">
            <v>W22</v>
          </cell>
          <cell r="Q172" t="str">
            <v>S23</v>
          </cell>
          <cell r="R172" t="str">
            <v>W23</v>
          </cell>
          <cell r="S172" t="str">
            <v>S24</v>
          </cell>
          <cell r="T172" t="str">
            <v>W24</v>
          </cell>
          <cell r="U172" t="str">
            <v>S25</v>
          </cell>
          <cell r="V172" t="str">
            <v>W25</v>
          </cell>
          <cell r="W172" t="str">
            <v>S26</v>
          </cell>
          <cell r="X172" t="str">
            <v>W26</v>
          </cell>
          <cell r="Y172"/>
        </row>
        <row r="173">
          <cell r="A173"/>
          <cell r="I173"/>
          <cell r="J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I174"/>
          <cell r="J174"/>
          <cell r="O174" t="str">
            <v>NB LAM</v>
          </cell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I175"/>
          <cell r="J175"/>
          <cell r="O175" t="str">
            <v>Débit LAM</v>
          </cell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I176"/>
          <cell r="J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O177" t="str">
            <v>NB STD</v>
          </cell>
          <cell r="P177">
            <v>14</v>
          </cell>
          <cell r="Q177">
            <v>14</v>
          </cell>
          <cell r="R177">
            <v>14</v>
          </cell>
          <cell r="S177">
            <v>14</v>
          </cell>
          <cell r="T177">
            <v>14</v>
          </cell>
          <cell r="U177">
            <v>14</v>
          </cell>
          <cell r="V177">
            <v>14</v>
          </cell>
          <cell r="W177">
            <v>14</v>
          </cell>
          <cell r="X177">
            <v>14</v>
          </cell>
          <cell r="Y177"/>
        </row>
        <row r="178">
          <cell r="A178"/>
          <cell r="I178"/>
          <cell r="J178"/>
          <cell r="O178" t="str">
            <v>Débit STD</v>
          </cell>
          <cell r="P178">
            <v>140</v>
          </cell>
          <cell r="Q178">
            <v>140</v>
          </cell>
          <cell r="R178">
            <v>140</v>
          </cell>
          <cell r="S178">
            <v>140</v>
          </cell>
          <cell r="T178">
            <v>140</v>
          </cell>
          <cell r="U178">
            <v>140</v>
          </cell>
          <cell r="V178">
            <v>140</v>
          </cell>
          <cell r="W178">
            <v>140</v>
          </cell>
          <cell r="X178">
            <v>140</v>
          </cell>
          <cell r="Y178"/>
        </row>
        <row r="179">
          <cell r="A179"/>
          <cell r="I179"/>
          <cell r="J179"/>
          <cell r="R179"/>
          <cell r="S179"/>
          <cell r="T179"/>
          <cell r="U179"/>
          <cell r="V179"/>
          <cell r="W179"/>
          <cell r="X179"/>
          <cell r="Y179"/>
        </row>
        <row r="180">
          <cell r="A180"/>
          <cell r="I180"/>
          <cell r="J180"/>
          <cell r="O180" t="str">
            <v>Débit PIF</v>
          </cell>
          <cell r="P180">
            <v>1960</v>
          </cell>
          <cell r="Q180">
            <v>1960</v>
          </cell>
          <cell r="R180">
            <v>1960</v>
          </cell>
          <cell r="S180">
            <v>1960</v>
          </cell>
          <cell r="T180">
            <v>1960</v>
          </cell>
          <cell r="U180">
            <v>1960</v>
          </cell>
          <cell r="V180">
            <v>1960</v>
          </cell>
          <cell r="W180">
            <v>1960</v>
          </cell>
          <cell r="X180">
            <v>1960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</row>
        <row r="184">
          <cell r="A184"/>
          <cell r="O184" t="str">
            <v>T2AC - Surface PIF</v>
          </cell>
          <cell r="P184" t="str">
            <v>W22</v>
          </cell>
          <cell r="Q184" t="str">
            <v>S23</v>
          </cell>
          <cell r="R184" t="str">
            <v>W23</v>
          </cell>
          <cell r="S184" t="str">
            <v>S24</v>
          </cell>
          <cell r="T184" t="str">
            <v>W24</v>
          </cell>
          <cell r="U184" t="str">
            <v>S25</v>
          </cell>
          <cell r="V184" t="str">
            <v>W25</v>
          </cell>
          <cell r="W184" t="str">
            <v>S26</v>
          </cell>
          <cell r="X184" t="str">
            <v>W26</v>
          </cell>
          <cell r="Y184"/>
        </row>
        <row r="185">
          <cell r="A185"/>
          <cell r="O185"/>
          <cell r="Y185"/>
        </row>
        <row r="186">
          <cell r="A186"/>
          <cell r="O186" t="str">
            <v>SURFACE GLOBAL</v>
          </cell>
          <cell r="P186">
            <v>411</v>
          </cell>
          <cell r="Q186">
            <v>411</v>
          </cell>
          <cell r="R186">
            <v>411</v>
          </cell>
          <cell r="S186">
            <v>411</v>
          </cell>
          <cell r="T186">
            <v>411</v>
          </cell>
          <cell r="U186">
            <v>411</v>
          </cell>
          <cell r="V186">
            <v>416</v>
          </cell>
          <cell r="W186">
            <v>416</v>
          </cell>
          <cell r="X186">
            <v>416</v>
          </cell>
          <cell r="Y186"/>
        </row>
        <row r="187">
          <cell r="A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</row>
        <row r="188">
          <cell r="A188"/>
          <cell r="O188" t="str">
            <v>Temps d'attente maximum (min)</v>
          </cell>
          <cell r="P188">
            <v>10</v>
          </cell>
          <cell r="Q188">
            <v>10</v>
          </cell>
          <cell r="R188">
            <v>10</v>
          </cell>
          <cell r="S188">
            <v>10</v>
          </cell>
          <cell r="T188">
            <v>10</v>
          </cell>
          <cell r="U188">
            <v>10</v>
          </cell>
          <cell r="V188">
            <v>10</v>
          </cell>
          <cell r="W188">
            <v>10</v>
          </cell>
          <cell r="X188">
            <v>10</v>
          </cell>
          <cell r="Y188"/>
        </row>
        <row r="189">
          <cell r="A189"/>
          <cell r="O189" t="str">
            <v>Standard IATA C (m2/PAX)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/>
          <cell r="Y190"/>
        </row>
        <row r="191">
          <cell r="A191"/>
          <cell r="O191" t="str">
            <v>Attente PIF</v>
          </cell>
          <cell r="P191">
            <v>2466</v>
          </cell>
          <cell r="Q191">
            <v>2466</v>
          </cell>
          <cell r="R191">
            <v>2466</v>
          </cell>
          <cell r="S191">
            <v>2466</v>
          </cell>
          <cell r="T191">
            <v>2466</v>
          </cell>
          <cell r="U191">
            <v>2466</v>
          </cell>
          <cell r="V191">
            <v>2496</v>
          </cell>
          <cell r="W191">
            <v>2496</v>
          </cell>
          <cell r="X191">
            <v>2496</v>
          </cell>
          <cell r="Y191"/>
        </row>
        <row r="192">
          <cell r="A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</row>
        <row r="193">
          <cell r="A193"/>
          <cell r="I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5">
          <cell r="A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</row>
        <row r="196">
          <cell r="A196" t="str">
            <v>Embarquement</v>
          </cell>
        </row>
        <row r="197">
          <cell r="A197"/>
          <cell r="N197" t="str">
            <v>T2AC - Circuits embarquements NET</v>
          </cell>
          <cell r="O197"/>
          <cell r="P197" t="str">
            <v>W22</v>
          </cell>
          <cell r="Q197" t="str">
            <v>S23</v>
          </cell>
          <cell r="R197" t="str">
            <v>W23</v>
          </cell>
          <cell r="S197" t="str">
            <v>S24</v>
          </cell>
          <cell r="T197" t="str">
            <v>W24</v>
          </cell>
          <cell r="U197" t="str">
            <v>S25</v>
          </cell>
          <cell r="V197" t="str">
            <v>W25</v>
          </cell>
          <cell r="W197" t="str">
            <v>S26</v>
          </cell>
          <cell r="X197" t="str">
            <v>W26</v>
          </cell>
        </row>
        <row r="198">
          <cell r="A198"/>
          <cell r="N198" t="str">
            <v>T2AC - Contact</v>
          </cell>
          <cell r="O198" t="str">
            <v>A/B</v>
          </cell>
          <cell r="P198">
            <v>0</v>
          </cell>
          <cell r="Q198"/>
          <cell r="R198"/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/>
        </row>
        <row r="199">
          <cell r="A199"/>
          <cell r="N199"/>
          <cell r="O199" t="str">
            <v>C</v>
          </cell>
          <cell r="P199">
            <v>1</v>
          </cell>
          <cell r="Q199"/>
          <cell r="R199"/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/>
        </row>
        <row r="200">
          <cell r="A200"/>
          <cell r="N200"/>
          <cell r="O200" t="str">
            <v>D</v>
          </cell>
          <cell r="P200">
            <v>1</v>
          </cell>
          <cell r="Q200"/>
          <cell r="R200"/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/>
        </row>
        <row r="201">
          <cell r="A201"/>
          <cell r="N201"/>
          <cell r="O201" t="str">
            <v>E</v>
          </cell>
          <cell r="P201">
            <v>11</v>
          </cell>
          <cell r="Q201"/>
          <cell r="R201"/>
          <cell r="S201">
            <v>11</v>
          </cell>
          <cell r="T201">
            <v>11</v>
          </cell>
          <cell r="U201">
            <v>11</v>
          </cell>
          <cell r="V201">
            <v>11</v>
          </cell>
          <cell r="W201">
            <v>9</v>
          </cell>
          <cell r="X201"/>
        </row>
        <row r="202">
          <cell r="A202"/>
          <cell r="N202"/>
          <cell r="O202" t="str">
            <v>F</v>
          </cell>
          <cell r="P202">
            <v>1</v>
          </cell>
          <cell r="Q202"/>
          <cell r="R202"/>
          <cell r="S202">
            <v>1</v>
          </cell>
          <cell r="T202">
            <v>1</v>
          </cell>
          <cell r="U202">
            <v>1</v>
          </cell>
          <cell r="V202">
            <v>1</v>
          </cell>
          <cell r="W202">
            <v>1</v>
          </cell>
          <cell r="X202"/>
        </row>
        <row r="203">
          <cell r="A203"/>
          <cell r="N203" t="str">
            <v>T2AC - Large</v>
          </cell>
          <cell r="O203" t="str">
            <v>A/B</v>
          </cell>
          <cell r="P203">
            <v>0</v>
          </cell>
          <cell r="Q203"/>
          <cell r="R203"/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/>
          <cell r="O204" t="str">
            <v>C</v>
          </cell>
          <cell r="P204">
            <v>0</v>
          </cell>
          <cell r="Q204"/>
          <cell r="R204"/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D</v>
          </cell>
          <cell r="P205">
            <v>0</v>
          </cell>
          <cell r="Q205"/>
          <cell r="R205"/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/>
        </row>
        <row r="206">
          <cell r="A206"/>
          <cell r="N206"/>
          <cell r="O206" t="str">
            <v>E</v>
          </cell>
          <cell r="P206">
            <v>3</v>
          </cell>
          <cell r="Q206"/>
          <cell r="R206"/>
          <cell r="S206">
            <v>3</v>
          </cell>
          <cell r="T206">
            <v>3</v>
          </cell>
          <cell r="U206">
            <v>3</v>
          </cell>
          <cell r="V206">
            <v>3</v>
          </cell>
          <cell r="W206">
            <v>3</v>
          </cell>
          <cell r="X206"/>
        </row>
        <row r="207">
          <cell r="A207"/>
          <cell r="N207"/>
          <cell r="O207" t="str">
            <v>F</v>
          </cell>
          <cell r="P207">
            <v>0</v>
          </cell>
          <cell r="Q207"/>
          <cell r="R207"/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 t="str">
            <v>T2AC Total</v>
          </cell>
          <cell r="O208"/>
          <cell r="P208">
            <v>17</v>
          </cell>
          <cell r="Q208">
            <v>0</v>
          </cell>
          <cell r="R208">
            <v>0</v>
          </cell>
          <cell r="S208">
            <v>17</v>
          </cell>
          <cell r="T208">
            <v>17</v>
          </cell>
          <cell r="U208">
            <v>17</v>
          </cell>
          <cell r="V208">
            <v>17</v>
          </cell>
          <cell r="W208">
            <v>15</v>
          </cell>
          <cell r="X208"/>
        </row>
        <row r="209">
          <cell r="A209"/>
          <cell r="O209"/>
        </row>
        <row r="210">
          <cell r="A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K211" t="str">
            <v>Offre siège porteur</v>
          </cell>
          <cell r="L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A/B</v>
          </cell>
          <cell r="L212">
            <v>80</v>
          </cell>
          <cell r="N212"/>
          <cell r="O212" t="str">
            <v>Débit EMB - TOTAL</v>
          </cell>
          <cell r="P212">
            <v>4598.5</v>
          </cell>
          <cell r="Q212">
            <v>0</v>
          </cell>
          <cell r="R212">
            <v>0</v>
          </cell>
          <cell r="S212">
            <v>4598.5</v>
          </cell>
          <cell r="T212">
            <v>4598.5</v>
          </cell>
          <cell r="U212">
            <v>4598.5</v>
          </cell>
          <cell r="V212">
            <v>4598.5</v>
          </cell>
          <cell r="W212">
            <v>4054.5</v>
          </cell>
          <cell r="X212"/>
        </row>
        <row r="213">
          <cell r="A213"/>
          <cell r="K213" t="str">
            <v>C</v>
          </cell>
          <cell r="L213">
            <v>180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D</v>
          </cell>
          <cell r="L214">
            <v>250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K215" t="str">
            <v>E</v>
          </cell>
          <cell r="L215">
            <v>320</v>
          </cell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F</v>
          </cell>
          <cell r="L216">
            <v>500</v>
          </cell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K218" t="str">
            <v>Taux de remplissage</v>
          </cell>
          <cell r="L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K219">
            <v>0.85</v>
          </cell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</row>
        <row r="221">
          <cell r="A221"/>
          <cell r="O221"/>
        </row>
        <row r="222">
          <cell r="A222"/>
          <cell r="O222"/>
        </row>
        <row r="223">
          <cell r="A223"/>
          <cell r="O223"/>
        </row>
        <row r="224">
          <cell r="A224"/>
          <cell r="O224" t="str">
            <v>T2A - Embarquement Bat Pincipal</v>
          </cell>
          <cell r="P224" t="str">
            <v>W22</v>
          </cell>
          <cell r="Q224" t="str">
            <v>S23</v>
          </cell>
          <cell r="R224" t="str">
            <v>W23</v>
          </cell>
          <cell r="S224" t="str">
            <v>S24</v>
          </cell>
          <cell r="T224" t="str">
            <v>W24</v>
          </cell>
          <cell r="U224" t="str">
            <v>S25</v>
          </cell>
          <cell r="V224" t="str">
            <v>W25</v>
          </cell>
          <cell r="W224" t="str">
            <v>S26</v>
          </cell>
          <cell r="X224" t="str">
            <v>W26</v>
          </cell>
        </row>
        <row r="225">
          <cell r="A225"/>
          <cell r="R225"/>
          <cell r="S225"/>
          <cell r="T225"/>
          <cell r="U225"/>
          <cell r="V225"/>
          <cell r="W225"/>
          <cell r="X225"/>
        </row>
        <row r="226">
          <cell r="A226"/>
          <cell r="O226" t="str">
            <v>Surface d'attente utile (m2)</v>
          </cell>
          <cell r="P226">
            <v>3472</v>
          </cell>
          <cell r="Q226">
            <v>3472</v>
          </cell>
          <cell r="R226">
            <v>3472</v>
          </cell>
          <cell r="S226">
            <v>3472</v>
          </cell>
          <cell r="T226">
            <v>3472</v>
          </cell>
          <cell r="U226">
            <v>3049</v>
          </cell>
          <cell r="V226">
            <v>3049</v>
          </cell>
          <cell r="W226">
            <v>3049</v>
          </cell>
          <cell r="X226">
            <v>3049</v>
          </cell>
        </row>
        <row r="227">
          <cell r="A227"/>
          <cell r="O227" t="str">
            <v>Temps moyen d'occupation (min)</v>
          </cell>
          <cell r="P227">
            <v>90</v>
          </cell>
          <cell r="Q227">
            <v>90</v>
          </cell>
          <cell r="R227">
            <v>90</v>
          </cell>
          <cell r="S227">
            <v>90</v>
          </cell>
          <cell r="T227">
            <v>90</v>
          </cell>
          <cell r="U227">
            <v>90</v>
          </cell>
          <cell r="V227">
            <v>90</v>
          </cell>
          <cell r="W227">
            <v>90</v>
          </cell>
          <cell r="X227">
            <v>90</v>
          </cell>
        </row>
        <row r="228">
          <cell r="A228"/>
          <cell r="O228" t="str">
            <v>Standard IATA (m2/PAX)</v>
          </cell>
          <cell r="P228">
            <v>1</v>
          </cell>
          <cell r="Q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</row>
        <row r="229">
          <cell r="A229"/>
          <cell r="O229" t="str">
            <v>Taux d'occupation MAX IATA</v>
          </cell>
          <cell r="P229">
            <v>0.65</v>
          </cell>
          <cell r="Q229">
            <v>0.65</v>
          </cell>
          <cell r="R229">
            <v>0.65</v>
          </cell>
          <cell r="S229">
            <v>0.65</v>
          </cell>
          <cell r="T229">
            <v>0.65</v>
          </cell>
          <cell r="U229">
            <v>0.65</v>
          </cell>
          <cell r="V229">
            <v>0.65</v>
          </cell>
          <cell r="W229">
            <v>0.65</v>
          </cell>
          <cell r="X229">
            <v>0.65</v>
          </cell>
        </row>
        <row r="230">
          <cell r="A230"/>
        </row>
        <row r="231">
          <cell r="A231"/>
          <cell r="O231" t="str">
            <v>Attente EMB T2A Bat Principal</v>
          </cell>
          <cell r="P231">
            <v>1504.5333333333333</v>
          </cell>
          <cell r="Q231">
            <v>1504.5333333333333</v>
          </cell>
          <cell r="R231">
            <v>1504.5333333333333</v>
          </cell>
          <cell r="S231">
            <v>1504.5333333333333</v>
          </cell>
          <cell r="T231">
            <v>1504.5333333333333</v>
          </cell>
          <cell r="U231">
            <v>1321.2333333333333</v>
          </cell>
          <cell r="V231">
            <v>1321.2333333333333</v>
          </cell>
          <cell r="W231">
            <v>1321.2333333333333</v>
          </cell>
          <cell r="X231">
            <v>1321.2333333333333</v>
          </cell>
        </row>
        <row r="232">
          <cell r="A232"/>
        </row>
        <row r="233">
          <cell r="A233"/>
        </row>
        <row r="234">
          <cell r="A234"/>
          <cell r="Y234"/>
          <cell r="Z234"/>
        </row>
        <row r="235">
          <cell r="A235"/>
          <cell r="O235" t="str">
            <v>T2A - Embarquement Cerise</v>
          </cell>
          <cell r="P235" t="str">
            <v>W22</v>
          </cell>
          <cell r="Q235" t="str">
            <v>S23</v>
          </cell>
          <cell r="R235" t="str">
            <v>W23</v>
          </cell>
          <cell r="S235" t="str">
            <v>S24</v>
          </cell>
          <cell r="T235" t="str">
            <v>W24</v>
          </cell>
          <cell r="U235" t="str">
            <v>S25</v>
          </cell>
          <cell r="V235" t="str">
            <v>W25</v>
          </cell>
          <cell r="W235" t="str">
            <v>S26</v>
          </cell>
          <cell r="X235" t="str">
            <v>W26</v>
          </cell>
          <cell r="Y235"/>
          <cell r="Z235"/>
        </row>
        <row r="236">
          <cell r="A236"/>
          <cell r="R236"/>
          <cell r="S236"/>
          <cell r="T236"/>
          <cell r="U236"/>
          <cell r="V236"/>
          <cell r="W236"/>
          <cell r="X236"/>
          <cell r="Y236"/>
          <cell r="Z236"/>
        </row>
        <row r="237">
          <cell r="A237"/>
          <cell r="O237" t="str">
            <v>Surface d'attente utile (m2)</v>
          </cell>
          <cell r="P237">
            <v>1069</v>
          </cell>
          <cell r="Q237">
            <v>1069</v>
          </cell>
          <cell r="R237">
            <v>1069</v>
          </cell>
          <cell r="S237">
            <v>1069</v>
          </cell>
          <cell r="T237">
            <v>1069</v>
          </cell>
          <cell r="U237">
            <v>1069</v>
          </cell>
          <cell r="V237">
            <v>810</v>
          </cell>
          <cell r="W237">
            <v>810</v>
          </cell>
          <cell r="X237">
            <v>810</v>
          </cell>
          <cell r="Y237"/>
          <cell r="Z237"/>
        </row>
        <row r="238">
          <cell r="A238"/>
          <cell r="O238" t="str">
            <v>Temps moyen d'occupation (min)</v>
          </cell>
          <cell r="P238">
            <v>90</v>
          </cell>
          <cell r="Q238">
            <v>90</v>
          </cell>
          <cell r="R238">
            <v>90</v>
          </cell>
          <cell r="S238">
            <v>90</v>
          </cell>
          <cell r="T238">
            <v>90</v>
          </cell>
          <cell r="U238">
            <v>90</v>
          </cell>
          <cell r="V238">
            <v>90</v>
          </cell>
          <cell r="W238">
            <v>90</v>
          </cell>
          <cell r="X238">
            <v>90</v>
          </cell>
          <cell r="Y238"/>
          <cell r="Z238"/>
        </row>
        <row r="239">
          <cell r="A239"/>
          <cell r="O239" t="str">
            <v>Standard IATA (m2/PAX)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/>
          <cell r="Z239"/>
        </row>
        <row r="240">
          <cell r="A240"/>
          <cell r="O240" t="str">
            <v>Taux d'occupation MAX IATA</v>
          </cell>
          <cell r="P240">
            <v>0.65</v>
          </cell>
          <cell r="Q240">
            <v>0.65</v>
          </cell>
          <cell r="R240">
            <v>0.65</v>
          </cell>
          <cell r="S240">
            <v>0.65</v>
          </cell>
          <cell r="T240">
            <v>0.65</v>
          </cell>
          <cell r="U240">
            <v>0.65</v>
          </cell>
          <cell r="V240">
            <v>0.65</v>
          </cell>
          <cell r="W240">
            <v>0.65</v>
          </cell>
          <cell r="X240">
            <v>0.65</v>
          </cell>
          <cell r="Y240"/>
          <cell r="Z240"/>
        </row>
        <row r="241">
          <cell r="A241"/>
          <cell r="Y241"/>
          <cell r="Z241"/>
        </row>
        <row r="242">
          <cell r="A242"/>
          <cell r="O242" t="str">
            <v>Attente EMB T2A Cerise</v>
          </cell>
          <cell r="P242">
            <v>463.23333333333335</v>
          </cell>
          <cell r="Q242">
            <v>463.23333333333335</v>
          </cell>
          <cell r="R242">
            <v>463.23333333333335</v>
          </cell>
          <cell r="S242">
            <v>463.23333333333335</v>
          </cell>
          <cell r="T242">
            <v>463.23333333333335</v>
          </cell>
          <cell r="U242">
            <v>463.23333333333335</v>
          </cell>
          <cell r="V242">
            <v>351</v>
          </cell>
          <cell r="W242">
            <v>351</v>
          </cell>
          <cell r="X242">
            <v>351</v>
          </cell>
          <cell r="Y242"/>
          <cell r="Z242"/>
        </row>
        <row r="243">
          <cell r="A243"/>
          <cell r="Y243"/>
          <cell r="Z243"/>
        </row>
        <row r="244">
          <cell r="A244"/>
          <cell r="Y244"/>
          <cell r="Z244"/>
        </row>
        <row r="245">
          <cell r="A245"/>
          <cell r="Y245"/>
          <cell r="Z245"/>
        </row>
        <row r="246">
          <cell r="A246"/>
          <cell r="O246" t="str">
            <v>T2C - Embarquement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/>
          <cell r="Z246"/>
        </row>
        <row r="247">
          <cell r="A247"/>
          <cell r="R247"/>
          <cell r="S247"/>
          <cell r="T247"/>
          <cell r="U247"/>
          <cell r="V247"/>
          <cell r="W247"/>
          <cell r="X247"/>
          <cell r="Y247"/>
          <cell r="Z247"/>
        </row>
        <row r="248">
          <cell r="A248"/>
          <cell r="O248" t="str">
            <v>Surface d'attente utile (m2)</v>
          </cell>
          <cell r="P248">
            <v>3255</v>
          </cell>
          <cell r="Q248">
            <v>3255</v>
          </cell>
          <cell r="R248">
            <v>3255</v>
          </cell>
          <cell r="S248">
            <v>3255</v>
          </cell>
          <cell r="T248">
            <v>3145</v>
          </cell>
          <cell r="U248">
            <v>3145</v>
          </cell>
          <cell r="V248">
            <v>3145</v>
          </cell>
          <cell r="W248">
            <v>3145</v>
          </cell>
          <cell r="X248">
            <v>3145</v>
          </cell>
          <cell r="Y248"/>
          <cell r="Z248"/>
        </row>
        <row r="249">
          <cell r="A249"/>
          <cell r="O249" t="str">
            <v>Temps moyen d'occupation (min)</v>
          </cell>
          <cell r="P249">
            <v>90</v>
          </cell>
          <cell r="Q249">
            <v>90</v>
          </cell>
          <cell r="R249">
            <v>90</v>
          </cell>
          <cell r="S249">
            <v>90</v>
          </cell>
          <cell r="T249">
            <v>90</v>
          </cell>
          <cell r="U249">
            <v>90</v>
          </cell>
          <cell r="V249">
            <v>90</v>
          </cell>
          <cell r="W249">
            <v>90</v>
          </cell>
          <cell r="X249">
            <v>90</v>
          </cell>
          <cell r="Y249"/>
          <cell r="Z249"/>
        </row>
        <row r="250">
          <cell r="A250"/>
          <cell r="O250" t="str">
            <v>Standard IATA (m2/PAX)</v>
          </cell>
          <cell r="P250">
            <v>1</v>
          </cell>
          <cell r="Q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V250">
            <v>1</v>
          </cell>
          <cell r="W250">
            <v>1</v>
          </cell>
          <cell r="X250">
            <v>1</v>
          </cell>
        </row>
        <row r="251">
          <cell r="A251"/>
          <cell r="O251" t="str">
            <v>Taux d'occupation MAX IATA</v>
          </cell>
          <cell r="P251">
            <v>0.65</v>
          </cell>
          <cell r="Q251">
            <v>0.65</v>
          </cell>
          <cell r="R251">
            <v>0.65</v>
          </cell>
          <cell r="S251">
            <v>0.65</v>
          </cell>
          <cell r="T251">
            <v>0.65</v>
          </cell>
          <cell r="U251">
            <v>0.65</v>
          </cell>
          <cell r="V251">
            <v>0.65</v>
          </cell>
          <cell r="W251">
            <v>0.65</v>
          </cell>
          <cell r="X251">
            <v>0.65</v>
          </cell>
        </row>
        <row r="252">
          <cell r="A252"/>
        </row>
        <row r="253">
          <cell r="A253"/>
          <cell r="O253" t="str">
            <v>Attente EMB T2C</v>
          </cell>
          <cell r="P253">
            <v>1410.5</v>
          </cell>
          <cell r="Q253">
            <v>1410.5</v>
          </cell>
          <cell r="R253">
            <v>1410.5</v>
          </cell>
          <cell r="S253">
            <v>1410.5</v>
          </cell>
          <cell r="T253">
            <v>1362.8333333333333</v>
          </cell>
          <cell r="U253">
            <v>1362.8333333333333</v>
          </cell>
          <cell r="V253">
            <v>1362.8333333333333</v>
          </cell>
          <cell r="W253">
            <v>1362.8333333333333</v>
          </cell>
          <cell r="X253">
            <v>1362.8333333333333</v>
          </cell>
        </row>
        <row r="254">
          <cell r="A254"/>
        </row>
        <row r="255">
          <cell r="A255"/>
        </row>
        <row r="256">
          <cell r="A256"/>
          <cell r="O256" t="str">
            <v>Attente EMB</v>
          </cell>
          <cell r="P256">
            <v>3378.2666666666664</v>
          </cell>
          <cell r="Q256">
            <v>3378.2666666666664</v>
          </cell>
          <cell r="R256">
            <v>3378.2666666666664</v>
          </cell>
          <cell r="S256">
            <v>3378.2666666666664</v>
          </cell>
          <cell r="T256">
            <v>3330.6</v>
          </cell>
          <cell r="U256">
            <v>3147.3</v>
          </cell>
          <cell r="V256">
            <v>3035.0666666666666</v>
          </cell>
          <cell r="W256">
            <v>3035.0666666666666</v>
          </cell>
          <cell r="X256">
            <v>3035.0666666666666</v>
          </cell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</row>
        <row r="258">
          <cell r="A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</row>
        <row r="259">
          <cell r="A259"/>
        </row>
        <row r="260">
          <cell r="A260"/>
        </row>
        <row r="262">
          <cell r="A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</row>
        <row r="263">
          <cell r="A263" t="str">
            <v>Postes</v>
          </cell>
        </row>
        <row r="264">
          <cell r="A264"/>
          <cell r="N264" t="str">
            <v>T2AC NET1 MAX</v>
          </cell>
          <cell r="O264"/>
          <cell r="P264" t="str">
            <v>W22</v>
          </cell>
          <cell r="Q264" t="str">
            <v>S23</v>
          </cell>
          <cell r="R264" t="str">
            <v>W23</v>
          </cell>
          <cell r="S264" t="str">
            <v>S24</v>
          </cell>
          <cell r="T264" t="str">
            <v>W24</v>
          </cell>
          <cell r="U264" t="str">
            <v>S25</v>
          </cell>
          <cell r="V264" t="str">
            <v>W25</v>
          </cell>
          <cell r="W264" t="str">
            <v>S26</v>
          </cell>
          <cell r="X264" t="str">
            <v>W26</v>
          </cell>
          <cell r="Z264" t="str">
            <v>T2AC BRUT</v>
          </cell>
        </row>
        <row r="265">
          <cell r="A265"/>
          <cell r="N265" t="str">
            <v>Global - CONTACT</v>
          </cell>
          <cell r="O265" t="str">
            <v>A/B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/>
          <cell r="Z265" t="str">
            <v>T2AC Contact</v>
          </cell>
        </row>
        <row r="266">
          <cell r="A266"/>
          <cell r="N266"/>
          <cell r="O266" t="str">
            <v>C</v>
          </cell>
          <cell r="P266">
            <v>1</v>
          </cell>
          <cell r="Q266">
            <v>1</v>
          </cell>
          <cell r="R266">
            <v>0</v>
          </cell>
          <cell r="S266">
            <v>1</v>
          </cell>
          <cell r="T266">
            <v>1</v>
          </cell>
          <cell r="U266">
            <v>1</v>
          </cell>
          <cell r="V266">
            <v>1</v>
          </cell>
          <cell r="W266">
            <v>1</v>
          </cell>
          <cell r="X266"/>
          <cell r="Z266"/>
        </row>
        <row r="267">
          <cell r="A267"/>
          <cell r="N267"/>
          <cell r="O267" t="str">
            <v>D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V267">
            <v>1</v>
          </cell>
          <cell r="W267">
            <v>1</v>
          </cell>
          <cell r="X267"/>
          <cell r="Z267"/>
        </row>
        <row r="268">
          <cell r="A268"/>
          <cell r="N268"/>
          <cell r="O268" t="str">
            <v>E</v>
          </cell>
          <cell r="P268">
            <v>11</v>
          </cell>
          <cell r="Q268">
            <v>9</v>
          </cell>
          <cell r="R268">
            <v>13</v>
          </cell>
          <cell r="S268">
            <v>11</v>
          </cell>
          <cell r="T268">
            <v>11</v>
          </cell>
          <cell r="U268">
            <v>11</v>
          </cell>
          <cell r="V268">
            <v>11</v>
          </cell>
          <cell r="W268">
            <v>9</v>
          </cell>
          <cell r="X268"/>
          <cell r="Z268"/>
        </row>
        <row r="269">
          <cell r="A269"/>
          <cell r="N269"/>
          <cell r="O269" t="str">
            <v>F</v>
          </cell>
          <cell r="P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1</v>
          </cell>
          <cell r="V269">
            <v>1</v>
          </cell>
          <cell r="W269">
            <v>1</v>
          </cell>
          <cell r="X269"/>
          <cell r="Z269"/>
        </row>
        <row r="270">
          <cell r="A270"/>
          <cell r="N270"/>
          <cell r="O270" t="str">
            <v>T2AC Contact</v>
          </cell>
          <cell r="P270">
            <v>14</v>
          </cell>
          <cell r="Q270">
            <v>11</v>
          </cell>
          <cell r="R270">
            <v>14</v>
          </cell>
          <cell r="S270">
            <v>14</v>
          </cell>
          <cell r="T270">
            <v>14</v>
          </cell>
          <cell r="U270">
            <v>14</v>
          </cell>
          <cell r="V270">
            <v>14</v>
          </cell>
          <cell r="W270">
            <v>12</v>
          </cell>
          <cell r="X270"/>
          <cell r="Z270"/>
        </row>
        <row r="271">
          <cell r="A271"/>
          <cell r="Z271" t="str">
            <v>T2AC Large</v>
          </cell>
        </row>
        <row r="272">
          <cell r="A272"/>
          <cell r="N272" t="str">
            <v>Global - LARGE</v>
          </cell>
          <cell r="O272" t="str">
            <v>A/B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  <cell r="Z272"/>
        </row>
        <row r="273">
          <cell r="A273"/>
          <cell r="N273"/>
          <cell r="O273" t="str">
            <v>C</v>
          </cell>
          <cell r="P273">
            <v>1</v>
          </cell>
          <cell r="Q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V273">
            <v>1</v>
          </cell>
          <cell r="W273">
            <v>1</v>
          </cell>
          <cell r="X273"/>
          <cell r="Z273"/>
        </row>
        <row r="274">
          <cell r="A274"/>
          <cell r="N274"/>
          <cell r="O274" t="str">
            <v>D</v>
          </cell>
          <cell r="P274">
            <v>1</v>
          </cell>
          <cell r="Q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V274">
            <v>1</v>
          </cell>
          <cell r="W274">
            <v>1</v>
          </cell>
          <cell r="X274"/>
          <cell r="Z274"/>
        </row>
        <row r="275">
          <cell r="A275"/>
          <cell r="N275"/>
          <cell r="O275" t="str">
            <v>E</v>
          </cell>
          <cell r="P275">
            <v>7</v>
          </cell>
          <cell r="Q275">
            <v>5</v>
          </cell>
          <cell r="R275">
            <v>7</v>
          </cell>
          <cell r="S275">
            <v>7</v>
          </cell>
          <cell r="T275">
            <v>7</v>
          </cell>
          <cell r="U275">
            <v>7</v>
          </cell>
          <cell r="V275">
            <v>7</v>
          </cell>
          <cell r="W275">
            <v>7</v>
          </cell>
          <cell r="X275"/>
          <cell r="Z275"/>
        </row>
        <row r="276">
          <cell r="A276"/>
          <cell r="N276"/>
          <cell r="O276" t="str">
            <v>F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/>
          <cell r="Z276"/>
        </row>
        <row r="277">
          <cell r="A277"/>
          <cell r="N277"/>
          <cell r="O277" t="str">
            <v>T2AC Large</v>
          </cell>
          <cell r="P277">
            <v>9</v>
          </cell>
          <cell r="Q277">
            <v>7</v>
          </cell>
          <cell r="R277">
            <v>9</v>
          </cell>
          <cell r="S277">
            <v>9</v>
          </cell>
          <cell r="T277">
            <v>9</v>
          </cell>
          <cell r="U277">
            <v>9</v>
          </cell>
          <cell r="V277">
            <v>9</v>
          </cell>
          <cell r="W277">
            <v>9</v>
          </cell>
          <cell r="X277"/>
        </row>
        <row r="278">
          <cell r="A278"/>
        </row>
        <row r="280">
          <cell r="A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 t="str">
            <v>Frontières ARR</v>
          </cell>
          <cell r="I281" t="str">
            <v>Sans EES</v>
          </cell>
          <cell r="J281"/>
          <cell r="K281"/>
          <cell r="L281"/>
          <cell r="N281"/>
        </row>
        <row r="282">
          <cell r="A282"/>
          <cell r="H282" t="str">
            <v>QP Passeports</v>
          </cell>
          <cell r="I282"/>
          <cell r="J282" t="str">
            <v>T2A ARR</v>
          </cell>
          <cell r="K282" t="str">
            <v>Aubette</v>
          </cell>
          <cell r="L282" t="str">
            <v>Parafe</v>
          </cell>
          <cell r="M282"/>
          <cell r="N282"/>
          <cell r="O282" t="str">
            <v>T2A - PAF ARR</v>
          </cell>
          <cell r="P282" t="str">
            <v>W22</v>
          </cell>
          <cell r="Q282" t="str">
            <v>S23</v>
          </cell>
          <cell r="R282" t="str">
            <v>W23</v>
          </cell>
          <cell r="S282" t="str">
            <v>S24</v>
          </cell>
          <cell r="T282" t="str">
            <v>W24</v>
          </cell>
          <cell r="U282" t="str">
            <v>S25</v>
          </cell>
          <cell r="V282" t="str">
            <v>W25</v>
          </cell>
          <cell r="W282" t="str">
            <v>S26</v>
          </cell>
          <cell r="X282" t="str">
            <v>W26</v>
          </cell>
          <cell r="Z282"/>
        </row>
        <row r="283">
          <cell r="A283"/>
          <cell r="H283" t="str">
            <v>UE</v>
          </cell>
          <cell r="I283">
            <v>0.48</v>
          </cell>
          <cell r="J283" t="str">
            <v>Part modale</v>
          </cell>
          <cell r="K283"/>
          <cell r="L283"/>
          <cell r="N283"/>
          <cell r="Z283"/>
        </row>
        <row r="284">
          <cell r="A284"/>
          <cell r="H284" t="str">
            <v>RPT13</v>
          </cell>
          <cell r="I284">
            <v>0.27</v>
          </cell>
          <cell r="J284" t="str">
            <v>UE</v>
          </cell>
          <cell r="K284">
            <v>0.4</v>
          </cell>
          <cell r="L284">
            <v>0.6</v>
          </cell>
          <cell r="M284"/>
          <cell r="N284"/>
          <cell r="O284" t="str">
            <v>NB position aubette</v>
          </cell>
          <cell r="P284">
            <v>10</v>
          </cell>
          <cell r="Q284">
            <v>10</v>
          </cell>
          <cell r="R284">
            <v>10</v>
          </cell>
          <cell r="S284">
            <v>12</v>
          </cell>
          <cell r="T284">
            <v>12</v>
          </cell>
          <cell r="U284">
            <v>12</v>
          </cell>
          <cell r="V284">
            <v>12</v>
          </cell>
          <cell r="W284">
            <v>12</v>
          </cell>
          <cell r="X284">
            <v>12</v>
          </cell>
          <cell r="Z284"/>
        </row>
        <row r="285">
          <cell r="A285"/>
          <cell r="H285" t="str">
            <v>Autres TP</v>
          </cell>
          <cell r="I285">
            <v>0.25</v>
          </cell>
          <cell r="J285" t="str">
            <v>RPT13</v>
          </cell>
          <cell r="K285">
            <v>0.4</v>
          </cell>
          <cell r="L285">
            <v>0.6</v>
          </cell>
          <cell r="M285"/>
          <cell r="N285"/>
          <cell r="O285" t="str">
            <v>Débit unitaire</v>
          </cell>
          <cell r="P285">
            <v>86</v>
          </cell>
          <cell r="Q285">
            <v>89</v>
          </cell>
          <cell r="R285">
            <v>89</v>
          </cell>
          <cell r="S285">
            <v>89</v>
          </cell>
          <cell r="T285">
            <v>89</v>
          </cell>
          <cell r="U285">
            <v>89</v>
          </cell>
          <cell r="V285">
            <v>89</v>
          </cell>
          <cell r="W285">
            <v>64</v>
          </cell>
          <cell r="X285">
            <v>64</v>
          </cell>
          <cell r="Z285"/>
        </row>
        <row r="286">
          <cell r="A286"/>
          <cell r="I286"/>
          <cell r="J286" t="str">
            <v>Autres TP</v>
          </cell>
          <cell r="K286">
            <v>1</v>
          </cell>
          <cell r="L286"/>
          <cell r="M286"/>
          <cell r="N286"/>
          <cell r="O286" t="str">
            <v>Débit Aubette T2A</v>
          </cell>
          <cell r="P286">
            <v>860</v>
          </cell>
          <cell r="Q286">
            <v>890</v>
          </cell>
          <cell r="R286">
            <v>890</v>
          </cell>
          <cell r="S286">
            <v>1068</v>
          </cell>
          <cell r="T286">
            <v>1068</v>
          </cell>
          <cell r="U286">
            <v>1068</v>
          </cell>
          <cell r="V286">
            <v>1068</v>
          </cell>
          <cell r="W286">
            <v>768</v>
          </cell>
          <cell r="X286">
            <v>768</v>
          </cell>
          <cell r="Z286"/>
        </row>
        <row r="287">
          <cell r="A287"/>
          <cell r="J287" t="str">
            <v>TTU</v>
          </cell>
          <cell r="K287"/>
          <cell r="L287"/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J288" t="str">
            <v>UE</v>
          </cell>
          <cell r="K288">
            <v>27</v>
          </cell>
          <cell r="L288">
            <v>31</v>
          </cell>
          <cell r="M288"/>
          <cell r="O288" t="str">
            <v>NB Parafes</v>
          </cell>
          <cell r="P288">
            <v>5</v>
          </cell>
          <cell r="Q288">
            <v>0</v>
          </cell>
          <cell r="R288">
            <v>0</v>
          </cell>
          <cell r="S288">
            <v>12</v>
          </cell>
          <cell r="T288">
            <v>12</v>
          </cell>
          <cell r="U288">
            <v>12</v>
          </cell>
          <cell r="V288">
            <v>12</v>
          </cell>
          <cell r="W288">
            <v>12</v>
          </cell>
          <cell r="X288">
            <v>12</v>
          </cell>
        </row>
        <row r="289">
          <cell r="A289"/>
          <cell r="J289" t="str">
            <v>RPT13</v>
          </cell>
          <cell r="K289">
            <v>47.6</v>
          </cell>
          <cell r="L289">
            <v>31</v>
          </cell>
          <cell r="O289" t="str">
            <v>Débit unitaire</v>
          </cell>
          <cell r="P289">
            <v>116</v>
          </cell>
          <cell r="Q289">
            <v>116</v>
          </cell>
          <cell r="R289">
            <v>116</v>
          </cell>
          <cell r="S289">
            <v>116</v>
          </cell>
          <cell r="T289">
            <v>116</v>
          </cell>
          <cell r="U289">
            <v>116</v>
          </cell>
          <cell r="V289">
            <v>116</v>
          </cell>
          <cell r="W289">
            <v>109</v>
          </cell>
          <cell r="X289">
            <v>109</v>
          </cell>
        </row>
        <row r="290">
          <cell r="A290"/>
          <cell r="J290" t="str">
            <v>Autres TP</v>
          </cell>
          <cell r="K290">
            <v>47.6</v>
          </cell>
          <cell r="L290"/>
          <cell r="M290"/>
          <cell r="O290" t="str">
            <v>Débit Parafe T2A</v>
          </cell>
          <cell r="P290">
            <v>580</v>
          </cell>
          <cell r="Q290">
            <v>0</v>
          </cell>
          <cell r="R290">
            <v>0</v>
          </cell>
          <cell r="S290">
            <v>1392</v>
          </cell>
          <cell r="T290">
            <v>1392</v>
          </cell>
          <cell r="U290">
            <v>1392</v>
          </cell>
          <cell r="V290">
            <v>1392</v>
          </cell>
          <cell r="W290">
            <v>1308</v>
          </cell>
          <cell r="X290">
            <v>1308</v>
          </cell>
        </row>
        <row r="291">
          <cell r="A291"/>
          <cell r="J291" t="str">
            <v>Résultante unitaire</v>
          </cell>
          <cell r="K291"/>
          <cell r="L291"/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J292" t="str">
            <v>PM</v>
          </cell>
          <cell r="K292">
            <v>0.55000000000000004</v>
          </cell>
          <cell r="L292">
            <v>0.44999999999999996</v>
          </cell>
          <cell r="M292"/>
          <cell r="O292" t="str">
            <v>Débit PAF T2A ARR</v>
          </cell>
          <cell r="P292">
            <v>1440</v>
          </cell>
          <cell r="Q292">
            <v>890</v>
          </cell>
          <cell r="R292">
            <v>890</v>
          </cell>
          <cell r="S292">
            <v>2460</v>
          </cell>
          <cell r="T292">
            <v>2460</v>
          </cell>
          <cell r="U292">
            <v>2460</v>
          </cell>
          <cell r="V292">
            <v>2460</v>
          </cell>
          <cell r="W292">
            <v>2076</v>
          </cell>
          <cell r="X292">
            <v>2076</v>
          </cell>
        </row>
        <row r="293">
          <cell r="A293"/>
          <cell r="J293" t="str">
            <v>TTU</v>
          </cell>
          <cell r="K293">
            <v>40.408727272727276</v>
          </cell>
          <cell r="L293">
            <v>31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 t="str">
            <v xml:space="preserve">Débit unitaire </v>
          </cell>
          <cell r="K294">
            <v>89.089665598790532</v>
          </cell>
          <cell r="L294">
            <v>116.12903225806451</v>
          </cell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J296"/>
          <cell r="K296"/>
          <cell r="L296"/>
          <cell r="M296"/>
          <cell r="P296"/>
          <cell r="Q296"/>
          <cell r="R296"/>
          <cell r="S296"/>
          <cell r="T296"/>
          <cell r="U296"/>
          <cell r="V296"/>
          <cell r="W296"/>
          <cell r="X296"/>
        </row>
        <row r="297">
          <cell r="A297"/>
          <cell r="H297" t="str">
            <v>Avec EES</v>
          </cell>
          <cell r="I297"/>
          <cell r="J297"/>
          <cell r="K297"/>
          <cell r="L297"/>
          <cell r="P297"/>
          <cell r="Q297"/>
          <cell r="R297"/>
          <cell r="S297"/>
          <cell r="T297"/>
          <cell r="U297"/>
          <cell r="V297"/>
          <cell r="W297"/>
          <cell r="X297"/>
        </row>
        <row r="298">
          <cell r="A298"/>
          <cell r="H298" t="str">
            <v>QP Passeports</v>
          </cell>
          <cell r="I298"/>
          <cell r="J298" t="str">
            <v>T2A ARR</v>
          </cell>
          <cell r="K298" t="str">
            <v>Aubette</v>
          </cell>
          <cell r="L298" t="str">
            <v>Parafe</v>
          </cell>
          <cell r="M298"/>
          <cell r="P298"/>
          <cell r="Q298"/>
          <cell r="R298"/>
          <cell r="S298"/>
          <cell r="T298"/>
          <cell r="U298"/>
          <cell r="V298"/>
          <cell r="W298"/>
          <cell r="X298"/>
        </row>
        <row r="299">
          <cell r="A299"/>
          <cell r="H299" t="str">
            <v>UE</v>
          </cell>
          <cell r="I299">
            <v>0.48</v>
          </cell>
          <cell r="J299" t="str">
            <v>Part modale</v>
          </cell>
          <cell r="K299"/>
          <cell r="L299"/>
          <cell r="P299"/>
          <cell r="Q299"/>
          <cell r="R299"/>
          <cell r="S299"/>
          <cell r="T299"/>
          <cell r="U299"/>
          <cell r="V299"/>
          <cell r="W299"/>
          <cell r="X299"/>
        </row>
        <row r="300">
          <cell r="A300"/>
          <cell r="H300" t="str">
            <v>RPT13</v>
          </cell>
          <cell r="I300">
            <v>0.27</v>
          </cell>
          <cell r="J300" t="str">
            <v>UE</v>
          </cell>
          <cell r="K300">
            <v>0.4</v>
          </cell>
          <cell r="L300">
            <v>0.6</v>
          </cell>
          <cell r="M300"/>
          <cell r="P300"/>
          <cell r="Q300"/>
          <cell r="R300"/>
          <cell r="S300"/>
          <cell r="T300"/>
          <cell r="U300"/>
          <cell r="V300"/>
          <cell r="W300"/>
          <cell r="X300"/>
        </row>
        <row r="301">
          <cell r="A301"/>
          <cell r="H301" t="str">
            <v>Autres TP</v>
          </cell>
          <cell r="I301">
            <v>0.25</v>
          </cell>
          <cell r="J301" t="str">
            <v>RPT13</v>
          </cell>
          <cell r="K301">
            <v>0.4</v>
          </cell>
          <cell r="L301">
            <v>0.6</v>
          </cell>
          <cell r="M301"/>
          <cell r="P301"/>
          <cell r="Q301"/>
          <cell r="R301"/>
          <cell r="S301"/>
          <cell r="T301"/>
          <cell r="U301"/>
          <cell r="V301"/>
          <cell r="W301"/>
          <cell r="X301"/>
        </row>
        <row r="302">
          <cell r="A302"/>
          <cell r="I302"/>
          <cell r="J302" t="str">
            <v>Autres TP</v>
          </cell>
          <cell r="K302">
            <v>1</v>
          </cell>
          <cell r="L302"/>
          <cell r="M302"/>
          <cell r="P302"/>
          <cell r="Q302"/>
          <cell r="R302"/>
          <cell r="S302"/>
          <cell r="T302"/>
          <cell r="U302"/>
          <cell r="V302"/>
          <cell r="W302"/>
          <cell r="X302"/>
        </row>
        <row r="303">
          <cell r="A303"/>
          <cell r="J303" t="str">
            <v>TTU</v>
          </cell>
          <cell r="K303"/>
          <cell r="L303"/>
          <cell r="P303"/>
          <cell r="Q303"/>
          <cell r="R303"/>
          <cell r="S303"/>
          <cell r="T303"/>
          <cell r="U303"/>
          <cell r="V303"/>
          <cell r="W303"/>
          <cell r="X303"/>
        </row>
        <row r="304">
          <cell r="A304"/>
          <cell r="J304" t="str">
            <v>UE</v>
          </cell>
          <cell r="K304">
            <v>27</v>
          </cell>
          <cell r="L304">
            <v>31</v>
          </cell>
          <cell r="M304"/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RPT13</v>
          </cell>
          <cell r="K305">
            <v>72</v>
          </cell>
          <cell r="L305">
            <v>37</v>
          </cell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Autres TP</v>
          </cell>
          <cell r="K306">
            <v>72</v>
          </cell>
          <cell r="L306"/>
          <cell r="M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Résultante unitaire</v>
          </cell>
          <cell r="K307"/>
          <cell r="L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PM</v>
          </cell>
          <cell r="K308">
            <v>0.55000000000000004</v>
          </cell>
          <cell r="L308">
            <v>0.44999999999999996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>TTU</v>
          </cell>
          <cell r="K309">
            <v>56.290909090909089</v>
          </cell>
          <cell r="L309">
            <v>33.160000000000004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 t="str">
            <v xml:space="preserve">Débit unitaire </v>
          </cell>
          <cell r="K310">
            <v>63.953488372093027</v>
          </cell>
          <cell r="L310">
            <v>108.56453558504221</v>
          </cell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P312"/>
          <cell r="Q312"/>
          <cell r="R312"/>
          <cell r="S312"/>
          <cell r="T312"/>
          <cell r="U312"/>
          <cell r="V312"/>
          <cell r="W312"/>
          <cell r="X312"/>
        </row>
        <row r="313">
          <cell r="A313"/>
          <cell r="J313"/>
          <cell r="K313"/>
          <cell r="L313"/>
          <cell r="M313"/>
          <cell r="P313"/>
          <cell r="Q313"/>
          <cell r="R313"/>
          <cell r="S313"/>
          <cell r="T313"/>
          <cell r="U313"/>
          <cell r="V313"/>
          <cell r="W313"/>
          <cell r="X313"/>
        </row>
        <row r="314">
          <cell r="A314"/>
          <cell r="I314"/>
          <cell r="J314"/>
          <cell r="K314"/>
          <cell r="L314"/>
          <cell r="M314"/>
          <cell r="P314"/>
          <cell r="Q314"/>
          <cell r="R314"/>
          <cell r="S314"/>
          <cell r="T314"/>
          <cell r="U314"/>
          <cell r="V314"/>
          <cell r="W314"/>
          <cell r="X314"/>
        </row>
        <row r="315">
          <cell r="A315"/>
          <cell r="I315"/>
          <cell r="J315"/>
          <cell r="K315"/>
          <cell r="L315"/>
          <cell r="M315"/>
          <cell r="P315"/>
          <cell r="Q315"/>
          <cell r="R315"/>
          <cell r="S315"/>
          <cell r="T315"/>
          <cell r="U315"/>
          <cell r="V315"/>
          <cell r="W315"/>
          <cell r="X315"/>
        </row>
        <row r="316">
          <cell r="A316"/>
          <cell r="H316" t="str">
            <v>Sans EES</v>
          </cell>
          <cell r="I316"/>
          <cell r="J316"/>
          <cell r="K316"/>
          <cell r="L316"/>
          <cell r="N316"/>
          <cell r="P316"/>
          <cell r="Q316"/>
          <cell r="R316"/>
          <cell r="S316"/>
          <cell r="T316"/>
          <cell r="U316"/>
          <cell r="V316"/>
          <cell r="W316"/>
          <cell r="X316"/>
          <cell r="Z316"/>
        </row>
        <row r="317">
          <cell r="A317"/>
          <cell r="H317" t="str">
            <v>QP Passeports</v>
          </cell>
          <cell r="I317"/>
          <cell r="J317" t="str">
            <v>T2C ARR</v>
          </cell>
          <cell r="K317" t="str">
            <v>Aubette</v>
          </cell>
          <cell r="L317" t="str">
            <v>Parafe</v>
          </cell>
          <cell r="M317"/>
          <cell r="N317"/>
          <cell r="O317" t="str">
            <v>T2C - PAF ARR</v>
          </cell>
          <cell r="P317" t="str">
            <v>W22</v>
          </cell>
          <cell r="Q317" t="str">
            <v>S23</v>
          </cell>
          <cell r="R317" t="str">
            <v>W23</v>
          </cell>
          <cell r="S317" t="str">
            <v>S24</v>
          </cell>
          <cell r="T317" t="str">
            <v>W24</v>
          </cell>
          <cell r="U317" t="str">
            <v>S25</v>
          </cell>
          <cell r="V317" t="str">
            <v>W25</v>
          </cell>
          <cell r="W317" t="str">
            <v>S26</v>
          </cell>
          <cell r="X317" t="str">
            <v>W26</v>
          </cell>
          <cell r="Z317"/>
        </row>
        <row r="318">
          <cell r="A318"/>
          <cell r="H318" t="str">
            <v>UE</v>
          </cell>
          <cell r="I318">
            <v>0.48</v>
          </cell>
          <cell r="J318" t="str">
            <v>Part modale</v>
          </cell>
          <cell r="K318"/>
          <cell r="L318"/>
          <cell r="N318"/>
          <cell r="Z318"/>
        </row>
        <row r="319">
          <cell r="A319"/>
          <cell r="H319" t="str">
            <v>RPT13</v>
          </cell>
          <cell r="I319">
            <v>0.27</v>
          </cell>
          <cell r="J319" t="str">
            <v>UE</v>
          </cell>
          <cell r="K319">
            <v>0.4</v>
          </cell>
          <cell r="L319">
            <v>0.6</v>
          </cell>
          <cell r="M319"/>
          <cell r="N319"/>
          <cell r="O319" t="str">
            <v>NB position aubette</v>
          </cell>
          <cell r="P319">
            <v>10</v>
          </cell>
          <cell r="Q319">
            <v>10</v>
          </cell>
          <cell r="R319">
            <v>10</v>
          </cell>
          <cell r="S319">
            <v>10</v>
          </cell>
          <cell r="T319">
            <v>10</v>
          </cell>
          <cell r="U319">
            <v>10</v>
          </cell>
          <cell r="V319">
            <v>10</v>
          </cell>
          <cell r="W319">
            <v>10</v>
          </cell>
          <cell r="X319"/>
          <cell r="Z319"/>
        </row>
        <row r="320">
          <cell r="A320"/>
          <cell r="H320" t="str">
            <v>Autres TP</v>
          </cell>
          <cell r="I320">
            <v>0.25</v>
          </cell>
          <cell r="J320" t="str">
            <v>RPT13</v>
          </cell>
          <cell r="K320">
            <v>0.4</v>
          </cell>
          <cell r="L320">
            <v>0.6</v>
          </cell>
          <cell r="M320"/>
          <cell r="N320"/>
          <cell r="O320" t="str">
            <v>Débit unitaire</v>
          </cell>
          <cell r="P320">
            <v>86</v>
          </cell>
          <cell r="Q320">
            <v>89</v>
          </cell>
          <cell r="R320">
            <v>89</v>
          </cell>
          <cell r="S320">
            <v>89</v>
          </cell>
          <cell r="T320">
            <v>89</v>
          </cell>
          <cell r="U320">
            <v>89</v>
          </cell>
          <cell r="V320">
            <v>89</v>
          </cell>
          <cell r="W320">
            <v>61</v>
          </cell>
          <cell r="X320"/>
          <cell r="Z320"/>
        </row>
        <row r="321">
          <cell r="A321"/>
          <cell r="I321"/>
          <cell r="J321" t="str">
            <v>Autres TP</v>
          </cell>
          <cell r="K321">
            <v>1</v>
          </cell>
          <cell r="L321"/>
          <cell r="M321"/>
          <cell r="N321"/>
          <cell r="O321" t="str">
            <v>Débit Aubette T2C</v>
          </cell>
          <cell r="P321">
            <v>860</v>
          </cell>
          <cell r="Q321">
            <v>890</v>
          </cell>
          <cell r="R321">
            <v>890</v>
          </cell>
          <cell r="S321">
            <v>890</v>
          </cell>
          <cell r="T321">
            <v>890</v>
          </cell>
          <cell r="U321">
            <v>890</v>
          </cell>
          <cell r="V321">
            <v>890</v>
          </cell>
          <cell r="W321">
            <v>610</v>
          </cell>
          <cell r="X321"/>
          <cell r="Z321"/>
        </row>
        <row r="322">
          <cell r="A322"/>
          <cell r="J322" t="str">
            <v>TTU</v>
          </cell>
          <cell r="K322"/>
          <cell r="L322"/>
          <cell r="N322"/>
          <cell r="P322"/>
          <cell r="Q322"/>
          <cell r="R322"/>
          <cell r="S322"/>
          <cell r="T322"/>
          <cell r="U322"/>
          <cell r="V322"/>
          <cell r="W322"/>
          <cell r="X322"/>
          <cell r="Z322"/>
        </row>
        <row r="323">
          <cell r="A323"/>
          <cell r="J323" t="str">
            <v>UE</v>
          </cell>
          <cell r="K323">
            <v>27</v>
          </cell>
          <cell r="L323">
            <v>31</v>
          </cell>
          <cell r="M323"/>
          <cell r="N323"/>
          <cell r="O323" t="str">
            <v>NB Parafes</v>
          </cell>
          <cell r="P323">
            <v>5</v>
          </cell>
          <cell r="Q323">
            <v>0</v>
          </cell>
          <cell r="R323">
            <v>0</v>
          </cell>
          <cell r="S323">
            <v>12</v>
          </cell>
          <cell r="T323">
            <v>12</v>
          </cell>
          <cell r="U323">
            <v>12</v>
          </cell>
          <cell r="V323">
            <v>12</v>
          </cell>
          <cell r="W323">
            <v>12</v>
          </cell>
          <cell r="X323"/>
          <cell r="Z323"/>
        </row>
        <row r="324">
          <cell r="A324"/>
          <cell r="J324" t="str">
            <v>RPT13</v>
          </cell>
          <cell r="K324">
            <v>47.6</v>
          </cell>
          <cell r="L324">
            <v>31</v>
          </cell>
          <cell r="N324"/>
          <cell r="O324" t="str">
            <v>Débit unitaire</v>
          </cell>
          <cell r="P324">
            <v>116</v>
          </cell>
          <cell r="Q324">
            <v>116</v>
          </cell>
          <cell r="R324">
            <v>116</v>
          </cell>
          <cell r="S324">
            <v>116</v>
          </cell>
          <cell r="T324">
            <v>116</v>
          </cell>
          <cell r="U324">
            <v>116</v>
          </cell>
          <cell r="V324">
            <v>116</v>
          </cell>
          <cell r="W324">
            <v>109</v>
          </cell>
          <cell r="X324"/>
          <cell r="Z324"/>
        </row>
        <row r="325">
          <cell r="A325"/>
          <cell r="J325" t="str">
            <v>Autres TP</v>
          </cell>
          <cell r="K325">
            <v>47.6</v>
          </cell>
          <cell r="L325"/>
          <cell r="M325"/>
          <cell r="N325"/>
          <cell r="O325" t="str">
            <v>Débit Parafe T2C</v>
          </cell>
          <cell r="P325">
            <v>580</v>
          </cell>
          <cell r="Q325">
            <v>0</v>
          </cell>
          <cell r="R325">
            <v>0</v>
          </cell>
          <cell r="S325">
            <v>1392</v>
          </cell>
          <cell r="T325">
            <v>1392</v>
          </cell>
          <cell r="U325">
            <v>1392</v>
          </cell>
          <cell r="V325">
            <v>1392</v>
          </cell>
          <cell r="W325">
            <v>1308</v>
          </cell>
          <cell r="X325"/>
          <cell r="Z325"/>
        </row>
        <row r="326">
          <cell r="A326"/>
          <cell r="J326" t="str">
            <v>Résultante unitaire</v>
          </cell>
          <cell r="K326"/>
          <cell r="L326"/>
          <cell r="N326"/>
          <cell r="P326"/>
          <cell r="Q326"/>
          <cell r="R326"/>
          <cell r="S326"/>
          <cell r="T326"/>
          <cell r="U326"/>
          <cell r="V326"/>
          <cell r="W326"/>
          <cell r="X326"/>
          <cell r="Z326"/>
        </row>
        <row r="327">
          <cell r="A327"/>
          <cell r="J327" t="str">
            <v>PM</v>
          </cell>
          <cell r="K327">
            <v>0.55000000000000004</v>
          </cell>
          <cell r="L327">
            <v>0.44999999999999996</v>
          </cell>
          <cell r="M327"/>
          <cell r="N327"/>
          <cell r="O327" t="str">
            <v>Débit PAF T2C ARR</v>
          </cell>
          <cell r="P327">
            <v>1440</v>
          </cell>
          <cell r="Q327">
            <v>890</v>
          </cell>
          <cell r="R327">
            <v>890</v>
          </cell>
          <cell r="S327">
            <v>2282</v>
          </cell>
          <cell r="T327">
            <v>2282</v>
          </cell>
          <cell r="U327">
            <v>2282</v>
          </cell>
          <cell r="V327">
            <v>2282</v>
          </cell>
          <cell r="W327">
            <v>1918</v>
          </cell>
          <cell r="X327">
            <v>0</v>
          </cell>
          <cell r="Z327"/>
        </row>
        <row r="328">
          <cell r="A328"/>
          <cell r="J328" t="str">
            <v>TTU</v>
          </cell>
          <cell r="K328">
            <v>40.408727272727276</v>
          </cell>
          <cell r="L328">
            <v>31</v>
          </cell>
          <cell r="M328"/>
          <cell r="N328"/>
          <cell r="P328"/>
          <cell r="Q328"/>
          <cell r="R328"/>
          <cell r="S328"/>
          <cell r="T328"/>
          <cell r="U328"/>
          <cell r="V328"/>
          <cell r="W328"/>
          <cell r="X328"/>
          <cell r="Z328"/>
        </row>
        <row r="329">
          <cell r="A329"/>
          <cell r="J329" t="str">
            <v xml:space="preserve">Débit unitaire </v>
          </cell>
          <cell r="K329">
            <v>89.089665598790532</v>
          </cell>
          <cell r="L329">
            <v>116.12903225806451</v>
          </cell>
          <cell r="M329"/>
          <cell r="N329"/>
          <cell r="Z329"/>
        </row>
        <row r="330">
          <cell r="A330"/>
          <cell r="J330"/>
          <cell r="K330"/>
          <cell r="L330"/>
          <cell r="M330"/>
          <cell r="N330"/>
          <cell r="O330" t="str">
            <v>Débit PAF T2AC ARR</v>
          </cell>
          <cell r="P330">
            <v>2880</v>
          </cell>
          <cell r="Q330">
            <v>1780</v>
          </cell>
          <cell r="R330">
            <v>1780</v>
          </cell>
          <cell r="S330">
            <v>4742</v>
          </cell>
          <cell r="T330">
            <v>4742</v>
          </cell>
          <cell r="U330">
            <v>4742</v>
          </cell>
          <cell r="V330">
            <v>4742</v>
          </cell>
          <cell r="W330">
            <v>3994</v>
          </cell>
          <cell r="X330">
            <v>2076</v>
          </cell>
          <cell r="Z330"/>
        </row>
        <row r="331">
          <cell r="A331"/>
          <cell r="J331"/>
          <cell r="K331"/>
          <cell r="L331"/>
          <cell r="M331"/>
          <cell r="N331"/>
          <cell r="Z331"/>
        </row>
        <row r="332">
          <cell r="A332"/>
          <cell r="H332" t="str">
            <v>Avec EES</v>
          </cell>
          <cell r="I332"/>
          <cell r="J332"/>
          <cell r="K332"/>
          <cell r="L332"/>
          <cell r="N332"/>
          <cell r="Z332"/>
        </row>
        <row r="333">
          <cell r="A333"/>
          <cell r="H333" t="str">
            <v>QP Passeports</v>
          </cell>
          <cell r="I333"/>
          <cell r="J333" t="str">
            <v>T2AC ARR</v>
          </cell>
          <cell r="K333" t="str">
            <v>Aubette</v>
          </cell>
          <cell r="L333" t="str">
            <v>Parafe</v>
          </cell>
          <cell r="M333"/>
          <cell r="N333"/>
          <cell r="Z333"/>
        </row>
        <row r="334">
          <cell r="A334"/>
          <cell r="H334" t="str">
            <v>UE</v>
          </cell>
          <cell r="I334">
            <v>0.48</v>
          </cell>
          <cell r="J334" t="str">
            <v>Part modale</v>
          </cell>
          <cell r="K334"/>
          <cell r="L334"/>
          <cell r="N334"/>
          <cell r="Z334"/>
        </row>
        <row r="335">
          <cell r="A335"/>
          <cell r="H335" t="str">
            <v>RPT13</v>
          </cell>
          <cell r="I335">
            <v>0.27</v>
          </cell>
          <cell r="J335" t="str">
            <v>UE</v>
          </cell>
          <cell r="K335">
            <v>0.4</v>
          </cell>
          <cell r="L335">
            <v>0.6</v>
          </cell>
          <cell r="M335"/>
          <cell r="N335"/>
          <cell r="Z335"/>
        </row>
        <row r="336">
          <cell r="A336"/>
          <cell r="H336" t="str">
            <v>Autres TP</v>
          </cell>
          <cell r="I336">
            <v>0.25</v>
          </cell>
          <cell r="J336" t="str">
            <v>RPT13</v>
          </cell>
          <cell r="K336">
            <v>0.4</v>
          </cell>
          <cell r="L336">
            <v>0.6</v>
          </cell>
          <cell r="M336"/>
          <cell r="N336"/>
          <cell r="Z336"/>
        </row>
        <row r="337">
          <cell r="A337"/>
          <cell r="I337"/>
          <cell r="J337" t="str">
            <v>Autres TP</v>
          </cell>
          <cell r="K337">
            <v>1</v>
          </cell>
          <cell r="L337"/>
          <cell r="M337"/>
          <cell r="N337"/>
          <cell r="Z337"/>
        </row>
        <row r="338">
          <cell r="A338"/>
          <cell r="J338" t="str">
            <v>TTU</v>
          </cell>
          <cell r="K338"/>
          <cell r="L338"/>
          <cell r="N338"/>
          <cell r="Z338"/>
        </row>
        <row r="339">
          <cell r="A339"/>
          <cell r="J339" t="str">
            <v>UE</v>
          </cell>
          <cell r="K339">
            <v>27</v>
          </cell>
          <cell r="L339">
            <v>31</v>
          </cell>
          <cell r="M339"/>
          <cell r="N339"/>
          <cell r="Z339"/>
        </row>
        <row r="340">
          <cell r="A340"/>
          <cell r="J340" t="str">
            <v>RPT13</v>
          </cell>
          <cell r="K340">
            <v>76</v>
          </cell>
          <cell r="L340">
            <v>37</v>
          </cell>
          <cell r="N340"/>
          <cell r="Z340"/>
        </row>
        <row r="341">
          <cell r="A341"/>
          <cell r="J341" t="str">
            <v>Autres TP</v>
          </cell>
          <cell r="K341">
            <v>76</v>
          </cell>
          <cell r="L341"/>
          <cell r="M341"/>
          <cell r="N341"/>
          <cell r="O341" t="str">
            <v>T2AC - Surface PAF ARR</v>
          </cell>
          <cell r="P341" t="str">
            <v>W22</v>
          </cell>
          <cell r="Q341" t="str">
            <v>S23</v>
          </cell>
          <cell r="R341" t="str">
            <v>W23</v>
          </cell>
          <cell r="S341" t="str">
            <v>S24</v>
          </cell>
          <cell r="T341" t="str">
            <v>W24</v>
          </cell>
          <cell r="U341" t="str">
            <v>S25</v>
          </cell>
          <cell r="V341" t="str">
            <v>W25</v>
          </cell>
          <cell r="W341" t="str">
            <v>S26</v>
          </cell>
          <cell r="X341" t="str">
            <v>W26</v>
          </cell>
          <cell r="Z341"/>
        </row>
        <row r="342">
          <cell r="A342"/>
          <cell r="J342" t="str">
            <v>Résultante unitaire</v>
          </cell>
          <cell r="K342"/>
          <cell r="L342"/>
          <cell r="N342"/>
          <cell r="O342" t="str">
            <v>T2A</v>
          </cell>
          <cell r="P342">
            <v>260</v>
          </cell>
          <cell r="Q342">
            <v>260</v>
          </cell>
          <cell r="R342">
            <v>260</v>
          </cell>
          <cell r="S342">
            <v>400</v>
          </cell>
          <cell r="T342">
            <v>400</v>
          </cell>
          <cell r="U342">
            <v>400</v>
          </cell>
          <cell r="V342">
            <v>410</v>
          </cell>
          <cell r="W342">
            <v>410</v>
          </cell>
          <cell r="X342"/>
          <cell r="Z342"/>
        </row>
        <row r="343">
          <cell r="A343"/>
          <cell r="J343" t="str">
            <v>PM</v>
          </cell>
          <cell r="K343">
            <v>0.55000000000000004</v>
          </cell>
          <cell r="L343">
            <v>0.44999999999999996</v>
          </cell>
          <cell r="M343"/>
          <cell r="N343"/>
          <cell r="O343" t="str">
            <v>T2C</v>
          </cell>
          <cell r="P343">
            <v>320</v>
          </cell>
          <cell r="Q343">
            <v>320</v>
          </cell>
          <cell r="R343">
            <v>320</v>
          </cell>
          <cell r="S343">
            <v>370</v>
          </cell>
          <cell r="T343">
            <v>370</v>
          </cell>
          <cell r="U343">
            <v>370</v>
          </cell>
          <cell r="V343">
            <v>350</v>
          </cell>
          <cell r="W343">
            <v>351</v>
          </cell>
          <cell r="X343"/>
          <cell r="Z343"/>
        </row>
        <row r="344">
          <cell r="A344"/>
          <cell r="J344" t="str">
            <v>TTU</v>
          </cell>
          <cell r="K344">
            <v>58.894545454545444</v>
          </cell>
          <cell r="L344">
            <v>33.160000000000004</v>
          </cell>
          <cell r="M344"/>
          <cell r="N344"/>
          <cell r="O344" t="str">
            <v>SURFACE GLOBAL</v>
          </cell>
          <cell r="P344">
            <v>580</v>
          </cell>
          <cell r="Q344">
            <v>580</v>
          </cell>
          <cell r="R344">
            <v>580</v>
          </cell>
          <cell r="S344">
            <v>770</v>
          </cell>
          <cell r="T344">
            <v>770</v>
          </cell>
          <cell r="U344">
            <v>770</v>
          </cell>
          <cell r="V344">
            <v>760</v>
          </cell>
          <cell r="W344">
            <v>761</v>
          </cell>
          <cell r="X344"/>
          <cell r="Z344"/>
        </row>
        <row r="345">
          <cell r="A345"/>
          <cell r="J345" t="str">
            <v xml:space="preserve">Débit unitaire </v>
          </cell>
          <cell r="K345">
            <v>61.126204000987912</v>
          </cell>
          <cell r="L345">
            <v>108.56453558504221</v>
          </cell>
          <cell r="M345"/>
          <cell r="N345"/>
          <cell r="Z345"/>
        </row>
        <row r="346">
          <cell r="A346"/>
          <cell r="I346"/>
          <cell r="J346"/>
          <cell r="K346"/>
          <cell r="L346"/>
          <cell r="M346"/>
          <cell r="N346"/>
          <cell r="O346" t="str">
            <v>Temps d'attente maximum (min)</v>
          </cell>
          <cell r="P346">
            <v>20</v>
          </cell>
          <cell r="Q346">
            <v>20</v>
          </cell>
          <cell r="R346">
            <v>20</v>
          </cell>
          <cell r="S346">
            <v>20</v>
          </cell>
          <cell r="T346">
            <v>20</v>
          </cell>
          <cell r="U346">
            <v>20</v>
          </cell>
          <cell r="V346">
            <v>20</v>
          </cell>
          <cell r="W346">
            <v>20</v>
          </cell>
          <cell r="X346">
            <v>20</v>
          </cell>
          <cell r="Z346"/>
        </row>
        <row r="347">
          <cell r="A347"/>
          <cell r="I347"/>
          <cell r="J347"/>
          <cell r="K347"/>
          <cell r="L347"/>
          <cell r="M347"/>
          <cell r="N347"/>
          <cell r="O347" t="str">
            <v>Standard IATA C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  <cell r="Z347"/>
        </row>
        <row r="348">
          <cell r="A348"/>
          <cell r="I348"/>
          <cell r="J348"/>
          <cell r="K348"/>
          <cell r="L348"/>
          <cell r="M348"/>
          <cell r="N348"/>
          <cell r="Z348"/>
        </row>
        <row r="349">
          <cell r="A349"/>
          <cell r="I349"/>
          <cell r="J349"/>
          <cell r="K349"/>
          <cell r="L349"/>
          <cell r="M349"/>
          <cell r="N349"/>
          <cell r="O349" t="str">
            <v>Attente PAF ARR - T2A</v>
          </cell>
          <cell r="P349">
            <v>780</v>
          </cell>
          <cell r="Q349">
            <v>780</v>
          </cell>
          <cell r="R349">
            <v>780</v>
          </cell>
          <cell r="S349">
            <v>1200</v>
          </cell>
          <cell r="T349">
            <v>1200</v>
          </cell>
          <cell r="U349">
            <v>1200</v>
          </cell>
          <cell r="V349">
            <v>1230</v>
          </cell>
          <cell r="W349">
            <v>1230</v>
          </cell>
          <cell r="X349">
            <v>0</v>
          </cell>
          <cell r="Z349"/>
        </row>
        <row r="350">
          <cell r="A350"/>
          <cell r="I350"/>
          <cell r="J350"/>
          <cell r="K350"/>
          <cell r="L350"/>
          <cell r="M350"/>
          <cell r="N350"/>
          <cell r="Z350"/>
        </row>
        <row r="351">
          <cell r="A351"/>
          <cell r="I351"/>
          <cell r="J351"/>
          <cell r="K351"/>
          <cell r="L351"/>
          <cell r="M351"/>
          <cell r="N351"/>
          <cell r="O351" t="str">
            <v>Attente PAF ARR - T2C</v>
          </cell>
          <cell r="P351">
            <v>960</v>
          </cell>
          <cell r="Q351">
            <v>960</v>
          </cell>
          <cell r="R351">
            <v>960</v>
          </cell>
          <cell r="S351">
            <v>1110</v>
          </cell>
          <cell r="T351">
            <v>1110</v>
          </cell>
          <cell r="U351">
            <v>1110</v>
          </cell>
          <cell r="V351">
            <v>1050</v>
          </cell>
          <cell r="W351">
            <v>1053</v>
          </cell>
          <cell r="X351">
            <v>0</v>
          </cell>
          <cell r="Z351"/>
        </row>
        <row r="352">
          <cell r="A352"/>
          <cell r="I352"/>
          <cell r="J352"/>
          <cell r="K352"/>
          <cell r="L352"/>
          <cell r="M352"/>
          <cell r="N352"/>
          <cell r="Z352"/>
        </row>
        <row r="353">
          <cell r="A353"/>
          <cell r="I353"/>
          <cell r="J353"/>
          <cell r="K353"/>
          <cell r="L353"/>
          <cell r="M353"/>
          <cell r="N353"/>
          <cell r="Z353"/>
        </row>
        <row r="354">
          <cell r="A354"/>
          <cell r="I354"/>
          <cell r="J354"/>
          <cell r="K354"/>
          <cell r="L354"/>
          <cell r="M354"/>
          <cell r="N354"/>
          <cell r="O354" t="str">
            <v>Attente PAF ARR - GLOBAL</v>
          </cell>
          <cell r="P354">
            <v>1740</v>
          </cell>
          <cell r="Q354">
            <v>1740</v>
          </cell>
          <cell r="R354">
            <v>1740</v>
          </cell>
          <cell r="S354">
            <v>2310</v>
          </cell>
          <cell r="T354">
            <v>2310</v>
          </cell>
          <cell r="U354">
            <v>2310</v>
          </cell>
          <cell r="V354">
            <v>2280</v>
          </cell>
          <cell r="W354">
            <v>2283</v>
          </cell>
          <cell r="X354">
            <v>0</v>
          </cell>
          <cell r="Z354"/>
        </row>
        <row r="355">
          <cell r="A355"/>
          <cell r="I355"/>
          <cell r="J355"/>
          <cell r="K355"/>
          <cell r="L355"/>
          <cell r="M355"/>
          <cell r="N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T2A - SLB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3</v>
          </cell>
          <cell r="Q361">
            <v>3</v>
          </cell>
          <cell r="R361">
            <v>3</v>
          </cell>
          <cell r="S361">
            <v>3</v>
          </cell>
          <cell r="T361">
            <v>3</v>
          </cell>
          <cell r="U361">
            <v>3</v>
          </cell>
          <cell r="V361">
            <v>3</v>
          </cell>
          <cell r="W361">
            <v>3</v>
          </cell>
          <cell r="X361">
            <v>3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1</v>
          </cell>
          <cell r="Q363">
            <v>1</v>
          </cell>
          <cell r="R363">
            <v>1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1</v>
          </cell>
          <cell r="X363">
            <v>1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  <cell r="O367" t="str">
            <v>T2C - SLB</v>
          </cell>
          <cell r="P367" t="str">
            <v>W22</v>
          </cell>
          <cell r="Q367" t="str">
            <v>S23</v>
          </cell>
          <cell r="R367" t="str">
            <v>W23</v>
          </cell>
          <cell r="S367" t="str">
            <v>S24</v>
          </cell>
          <cell r="T367" t="str">
            <v>W24</v>
          </cell>
          <cell r="U367" t="str">
            <v>S25</v>
          </cell>
          <cell r="V367" t="str">
            <v>W25</v>
          </cell>
          <cell r="W367" t="str">
            <v>S26</v>
          </cell>
          <cell r="X367" t="str">
            <v>W26</v>
          </cell>
        </row>
        <row r="368">
          <cell r="A368"/>
        </row>
        <row r="369">
          <cell r="A369"/>
          <cell r="O369" t="str">
            <v>NB tapis - Courts</v>
          </cell>
          <cell r="P369">
            <v>3</v>
          </cell>
          <cell r="Q369">
            <v>3</v>
          </cell>
          <cell r="R369">
            <v>3</v>
          </cell>
          <cell r="S369">
            <v>3</v>
          </cell>
          <cell r="T369">
            <v>3</v>
          </cell>
          <cell r="U369">
            <v>3</v>
          </cell>
          <cell r="V369">
            <v>3</v>
          </cell>
          <cell r="W369">
            <v>3</v>
          </cell>
          <cell r="X369">
            <v>3</v>
          </cell>
        </row>
        <row r="370">
          <cell r="A370"/>
        </row>
        <row r="371">
          <cell r="A371"/>
          <cell r="O371" t="str">
            <v>NB tapis - Longs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/>
          <cell r="Z371"/>
        </row>
        <row r="372">
          <cell r="A372"/>
          <cell r="Y372"/>
          <cell r="Z372"/>
        </row>
        <row r="373">
          <cell r="A373"/>
          <cell r="Y373"/>
          <cell r="Z373"/>
        </row>
        <row r="374">
          <cell r="A374"/>
          <cell r="Y374"/>
          <cell r="Z374"/>
        </row>
        <row r="375">
          <cell r="A375"/>
          <cell r="Y375"/>
          <cell r="Z375"/>
        </row>
      </sheetData>
      <sheetData sheetId="5">
        <row r="1">
          <cell r="B1" t="str">
            <v>T2BD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T2BD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4.5999999999999996</v>
          </cell>
          <cell r="Q5">
            <v>4.5999999999999996</v>
          </cell>
          <cell r="R5">
            <v>4.5999999999999996</v>
          </cell>
          <cell r="S5">
            <v>4.5999999999999996</v>
          </cell>
          <cell r="T5">
            <v>4.5999999999999996</v>
          </cell>
          <cell r="U5">
            <v>4.5999999999999996</v>
          </cell>
          <cell r="V5">
            <v>4.5999999999999996</v>
          </cell>
          <cell r="W5">
            <v>4.5999999999999996</v>
          </cell>
          <cell r="X5">
            <v>4.5999999999999996</v>
          </cell>
        </row>
        <row r="6">
          <cell r="A6"/>
          <cell r="O6" t="str">
            <v>Capacité Officielle SCH</v>
          </cell>
          <cell r="P6">
            <v>6.4</v>
          </cell>
          <cell r="Q6">
            <v>6.4</v>
          </cell>
          <cell r="R6">
            <v>6.4</v>
          </cell>
          <cell r="S6">
            <v>6.4</v>
          </cell>
          <cell r="T6">
            <v>6.4</v>
          </cell>
          <cell r="U6">
            <v>6.4</v>
          </cell>
          <cell r="V6">
            <v>6.4</v>
          </cell>
          <cell r="W6">
            <v>6.4</v>
          </cell>
          <cell r="X6">
            <v>6.4</v>
          </cell>
        </row>
        <row r="7">
          <cell r="A7"/>
          <cell r="O7" t="str">
            <v>Capacité Officielle TOTALE</v>
          </cell>
          <cell r="P7">
            <v>11</v>
          </cell>
          <cell r="Q7">
            <v>11</v>
          </cell>
          <cell r="R7">
            <v>11</v>
          </cell>
          <cell r="S7">
            <v>11</v>
          </cell>
          <cell r="T7">
            <v>11</v>
          </cell>
          <cell r="U7">
            <v>11</v>
          </cell>
          <cell r="V7">
            <v>11</v>
          </cell>
          <cell r="W7">
            <v>11</v>
          </cell>
          <cell r="X7">
            <v>11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1600</v>
          </cell>
          <cell r="T11">
            <v>1600</v>
          </cell>
          <cell r="U11">
            <v>1600</v>
          </cell>
          <cell r="V11">
            <v>1600</v>
          </cell>
          <cell r="W11">
            <v>1600</v>
          </cell>
          <cell r="X11">
            <v>1600</v>
          </cell>
        </row>
        <row r="12">
          <cell r="A12"/>
          <cell r="O12" t="str">
            <v>Seuil d'alerte DEPART GLOBAL</v>
          </cell>
          <cell r="P12">
            <v>1500</v>
          </cell>
          <cell r="Q12">
            <v>1500</v>
          </cell>
          <cell r="R12">
            <v>1500</v>
          </cell>
          <cell r="S12">
            <v>2300</v>
          </cell>
          <cell r="T12">
            <v>2300</v>
          </cell>
          <cell r="U12">
            <v>2300</v>
          </cell>
          <cell r="V12">
            <v>2300</v>
          </cell>
          <cell r="W12">
            <v>2300</v>
          </cell>
          <cell r="X12">
            <v>2300</v>
          </cell>
        </row>
        <row r="13">
          <cell r="A13"/>
          <cell r="I13"/>
          <cell r="J13"/>
          <cell r="K13"/>
          <cell r="L13"/>
          <cell r="M13"/>
          <cell r="N13"/>
          <cell r="O13" t="str">
            <v>Taux de pointe DEPART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</row>
        <row r="14">
          <cell r="A14"/>
          <cell r="O14" t="str">
            <v xml:space="preserve">Rendement Calculé landside </v>
          </cell>
        </row>
        <row r="15">
          <cell r="A15"/>
          <cell r="O15"/>
        </row>
        <row r="16">
          <cell r="A16"/>
          <cell r="O16"/>
        </row>
        <row r="17">
          <cell r="A17"/>
          <cell r="O17"/>
        </row>
        <row r="18">
          <cell r="A18"/>
        </row>
        <row r="19">
          <cell r="A19"/>
          <cell r="N19" t="str">
            <v>T2BD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  <cell r="P20"/>
          <cell r="Q20"/>
          <cell r="R20"/>
          <cell r="S20"/>
          <cell r="T20"/>
          <cell r="U20"/>
          <cell r="V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>
            <v>1554</v>
          </cell>
          <cell r="R21"/>
          <cell r="S21">
            <v>1462</v>
          </cell>
          <cell r="T21"/>
          <cell r="U21">
            <v>1451</v>
          </cell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1063</v>
          </cell>
          <cell r="R22"/>
          <cell r="S22">
            <v>1415</v>
          </cell>
          <cell r="T22"/>
          <cell r="U22">
            <v>1333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2100</v>
          </cell>
          <cell r="R23"/>
          <cell r="S23">
            <v>2416</v>
          </cell>
          <cell r="T23"/>
          <cell r="U23">
            <v>2219</v>
          </cell>
          <cell r="V23"/>
        </row>
        <row r="24">
          <cell r="A24"/>
          <cell r="P24"/>
        </row>
        <row r="25">
          <cell r="A25"/>
          <cell r="N25" t="str">
            <v>Enregistrement</v>
          </cell>
          <cell r="O25" t="str">
            <v>Capacité Equipements</v>
          </cell>
          <cell r="P25">
            <v>1170</v>
          </cell>
          <cell r="Q25">
            <v>2363.4</v>
          </cell>
          <cell r="R25">
            <v>2363.4</v>
          </cell>
          <cell r="S25">
            <v>2363.4</v>
          </cell>
          <cell r="T25">
            <v>2363.4</v>
          </cell>
          <cell r="U25">
            <v>2363.4</v>
          </cell>
          <cell r="V25">
            <v>2363.4</v>
          </cell>
          <cell r="W25">
            <v>2363.4</v>
          </cell>
          <cell r="X25">
            <v>2363.4</v>
          </cell>
        </row>
        <row r="26">
          <cell r="A26"/>
          <cell r="N26"/>
          <cell r="O26" t="str">
            <v>Capacité Surfaces</v>
          </cell>
          <cell r="P26">
            <v>2785.7142857142858</v>
          </cell>
          <cell r="Q26">
            <v>5457.1428571428578</v>
          </cell>
          <cell r="R26">
            <v>5800</v>
          </cell>
          <cell r="S26">
            <v>5800</v>
          </cell>
          <cell r="T26">
            <v>5800</v>
          </cell>
          <cell r="U26">
            <v>5800</v>
          </cell>
          <cell r="V26">
            <v>5800</v>
          </cell>
          <cell r="W26">
            <v>5800</v>
          </cell>
          <cell r="X26">
            <v>5800</v>
          </cell>
        </row>
        <row r="27">
          <cell r="A27"/>
          <cell r="N27"/>
          <cell r="O27" t="str">
            <v>QP utilisation</v>
          </cell>
          <cell r="P27">
            <v>0.7</v>
          </cell>
          <cell r="Q27">
            <v>0.7</v>
          </cell>
          <cell r="R27">
            <v>0.7</v>
          </cell>
          <cell r="S27">
            <v>0.6</v>
          </cell>
          <cell r="T27">
            <v>0.6</v>
          </cell>
          <cell r="U27">
            <v>0.6</v>
          </cell>
          <cell r="V27">
            <v>0.6</v>
          </cell>
          <cell r="W27">
            <v>0.6</v>
          </cell>
          <cell r="X27">
            <v>0.6</v>
          </cell>
        </row>
        <row r="28">
          <cell r="A28"/>
          <cell r="N28"/>
          <cell r="O28" t="str">
            <v>Capacité fictive Bloc</v>
          </cell>
          <cell r="P28">
            <v>1671.4285714285716</v>
          </cell>
          <cell r="Q28">
            <v>3376.2857142857147</v>
          </cell>
          <cell r="R28">
            <v>3376.2857142857147</v>
          </cell>
          <cell r="S28">
            <v>3939.0000000000005</v>
          </cell>
          <cell r="T28">
            <v>3939.0000000000005</v>
          </cell>
          <cell r="U28">
            <v>3939.0000000000005</v>
          </cell>
          <cell r="V28">
            <v>3939.0000000000005</v>
          </cell>
          <cell r="W28">
            <v>3939.0000000000005</v>
          </cell>
          <cell r="X28">
            <v>3939.0000000000005</v>
          </cell>
        </row>
        <row r="29">
          <cell r="A29"/>
          <cell r="N29"/>
          <cell r="O29"/>
        </row>
        <row r="30">
          <cell r="A30"/>
          <cell r="N30" t="str">
            <v>PIF TOT</v>
          </cell>
          <cell r="O30" t="str">
            <v>Capacité Equipements</v>
          </cell>
          <cell r="P30">
            <v>2300</v>
          </cell>
          <cell r="Q30">
            <v>2300</v>
          </cell>
          <cell r="R30">
            <v>2300</v>
          </cell>
          <cell r="S30">
            <v>2320</v>
          </cell>
          <cell r="T30">
            <v>2320</v>
          </cell>
          <cell r="U30">
            <v>2320</v>
          </cell>
          <cell r="V30">
            <v>2380</v>
          </cell>
          <cell r="W30">
            <v>2460</v>
          </cell>
          <cell r="X30">
            <v>2460</v>
          </cell>
        </row>
        <row r="31">
          <cell r="A31"/>
          <cell r="N31"/>
          <cell r="O31" t="str">
            <v>Capacité Surfaces</v>
          </cell>
          <cell r="P31">
            <v>4026</v>
          </cell>
          <cell r="Q31">
            <v>4026</v>
          </cell>
          <cell r="R31">
            <v>4026</v>
          </cell>
          <cell r="S31">
            <v>4026</v>
          </cell>
          <cell r="T31">
            <v>4026</v>
          </cell>
          <cell r="U31">
            <v>4026</v>
          </cell>
          <cell r="V31">
            <v>4026</v>
          </cell>
          <cell r="W31">
            <v>4026</v>
          </cell>
          <cell r="X31">
            <v>4026</v>
          </cell>
        </row>
        <row r="32">
          <cell r="A32"/>
          <cell r="N32"/>
          <cell r="O32" t="str">
            <v>QP utilisation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</row>
        <row r="33">
          <cell r="A33"/>
          <cell r="N33"/>
          <cell r="O33" t="str">
            <v>Capacité fictive Bloc</v>
          </cell>
          <cell r="P33">
            <v>2300</v>
          </cell>
          <cell r="Q33">
            <v>2300</v>
          </cell>
          <cell r="R33">
            <v>2300</v>
          </cell>
          <cell r="S33">
            <v>2320</v>
          </cell>
          <cell r="T33">
            <v>2320</v>
          </cell>
          <cell r="U33">
            <v>2320</v>
          </cell>
          <cell r="V33">
            <v>2380</v>
          </cell>
          <cell r="W33">
            <v>2460</v>
          </cell>
          <cell r="X33">
            <v>2460</v>
          </cell>
        </row>
        <row r="34">
          <cell r="A34"/>
          <cell r="N34"/>
          <cell r="O34"/>
        </row>
        <row r="35">
          <cell r="A35"/>
          <cell r="N35" t="str">
            <v>PAF</v>
          </cell>
          <cell r="O35" t="str">
            <v>Capacité Equipements</v>
          </cell>
          <cell r="P35">
            <v>1372.6451612903224</v>
          </cell>
          <cell r="Q35">
            <v>1544</v>
          </cell>
          <cell r="R35">
            <v>1544</v>
          </cell>
          <cell r="S35">
            <v>1544</v>
          </cell>
          <cell r="T35">
            <v>1544</v>
          </cell>
          <cell r="U35">
            <v>1544</v>
          </cell>
          <cell r="V35">
            <v>1544</v>
          </cell>
          <cell r="W35">
            <v>1544</v>
          </cell>
          <cell r="X35">
            <v>1544</v>
          </cell>
        </row>
        <row r="36">
          <cell r="A36"/>
          <cell r="N36"/>
          <cell r="O36" t="str">
            <v>Capacité Surfaces</v>
          </cell>
          <cell r="P36">
            <v>1200</v>
          </cell>
          <cell r="Q36">
            <v>1200</v>
          </cell>
          <cell r="R36">
            <v>1200</v>
          </cell>
          <cell r="S36">
            <v>1200</v>
          </cell>
          <cell r="T36">
            <v>1170</v>
          </cell>
          <cell r="U36">
            <v>1170</v>
          </cell>
          <cell r="V36">
            <v>1170</v>
          </cell>
          <cell r="W36">
            <v>1170</v>
          </cell>
          <cell r="X36">
            <v>1170</v>
          </cell>
        </row>
        <row r="37">
          <cell r="A37"/>
          <cell r="N37"/>
          <cell r="O37" t="str">
            <v>QP utilisation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</row>
        <row r="38">
          <cell r="A38"/>
          <cell r="N38"/>
          <cell r="O38" t="str">
            <v>QP INT en pointe</v>
          </cell>
          <cell r="P38">
            <v>0.68</v>
          </cell>
          <cell r="Q38">
            <v>0.8</v>
          </cell>
          <cell r="R38">
            <v>0.8</v>
          </cell>
          <cell r="S38">
            <v>0.7</v>
          </cell>
          <cell r="T38">
            <v>0.7</v>
          </cell>
          <cell r="U38">
            <v>0.7</v>
          </cell>
          <cell r="V38">
            <v>0.44</v>
          </cell>
          <cell r="W38">
            <v>0.44</v>
          </cell>
          <cell r="X38">
            <v>0.44</v>
          </cell>
        </row>
        <row r="39">
          <cell r="A39"/>
          <cell r="N39"/>
          <cell r="O39" t="str">
            <v>Capacité fictive Bloc</v>
          </cell>
          <cell r="P39">
            <v>2018.5958254269447</v>
          </cell>
          <cell r="Q39">
            <v>1930</v>
          </cell>
          <cell r="R39">
            <v>1930</v>
          </cell>
          <cell r="S39">
            <v>2205.7142857142858</v>
          </cell>
          <cell r="T39">
            <v>2205.7142857142858</v>
          </cell>
          <cell r="U39">
            <v>2205.7142857142858</v>
          </cell>
          <cell r="V39">
            <v>3509.090909090909</v>
          </cell>
          <cell r="W39">
            <v>3509.090909090909</v>
          </cell>
          <cell r="X39">
            <v>3509.090909090909</v>
          </cell>
        </row>
        <row r="40">
          <cell r="A40"/>
          <cell r="O40"/>
        </row>
        <row r="41">
          <cell r="A41"/>
          <cell r="N41" t="str">
            <v>EMB INTER</v>
          </cell>
          <cell r="O41" t="str">
            <v>Capacité Equipements</v>
          </cell>
          <cell r="P41">
            <v>2431</v>
          </cell>
          <cell r="Q41">
            <v>2431</v>
          </cell>
          <cell r="R41">
            <v>2431</v>
          </cell>
          <cell r="S41">
            <v>2431</v>
          </cell>
          <cell r="T41">
            <v>2431</v>
          </cell>
          <cell r="U41">
            <v>2159</v>
          </cell>
          <cell r="V41">
            <v>2159</v>
          </cell>
          <cell r="W41">
            <v>2737</v>
          </cell>
          <cell r="X41">
            <v>0</v>
          </cell>
        </row>
        <row r="42">
          <cell r="A42"/>
          <cell r="N42"/>
          <cell r="O42" t="str">
            <v>Capacité Surfaces</v>
          </cell>
          <cell r="P42">
            <v>2557.5333333333333</v>
          </cell>
          <cell r="Q42">
            <v>2557.5333333333333</v>
          </cell>
          <cell r="R42">
            <v>2557.5333333333333</v>
          </cell>
          <cell r="S42">
            <v>2557.5333333333333</v>
          </cell>
          <cell r="T42">
            <v>2557.5333333333333</v>
          </cell>
          <cell r="U42">
            <v>2557.5333333333333</v>
          </cell>
          <cell r="V42">
            <v>2557.5333333333333</v>
          </cell>
          <cell r="W42">
            <v>2557.5333333333333</v>
          </cell>
          <cell r="X42">
            <v>0</v>
          </cell>
        </row>
        <row r="43">
          <cell r="A43"/>
          <cell r="N43"/>
          <cell r="O43" t="str">
            <v>QP utilisation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</row>
        <row r="44">
          <cell r="A44"/>
          <cell r="N44"/>
          <cell r="O44" t="str">
            <v>QP INT en pointe</v>
          </cell>
          <cell r="P44">
            <v>0.68</v>
          </cell>
          <cell r="Q44">
            <v>0.8</v>
          </cell>
          <cell r="R44">
            <v>0.8</v>
          </cell>
          <cell r="S44">
            <v>0.7</v>
          </cell>
          <cell r="T44">
            <v>0.7</v>
          </cell>
          <cell r="U44">
            <v>0.7</v>
          </cell>
          <cell r="V44">
            <v>0.44</v>
          </cell>
          <cell r="W44">
            <v>0.44</v>
          </cell>
          <cell r="X44">
            <v>0.44</v>
          </cell>
        </row>
        <row r="45">
          <cell r="A45"/>
          <cell r="N45"/>
          <cell r="O45" t="str">
            <v>Capacité fictive Bloc</v>
          </cell>
          <cell r="P45">
            <v>3574.9999999999995</v>
          </cell>
          <cell r="Q45">
            <v>3038.75</v>
          </cell>
          <cell r="R45">
            <v>3038.75</v>
          </cell>
          <cell r="S45">
            <v>3472.8571428571431</v>
          </cell>
          <cell r="T45">
            <v>3472.8571428571431</v>
          </cell>
          <cell r="U45">
            <v>3084.2857142857147</v>
          </cell>
          <cell r="V45">
            <v>4906.818181818182</v>
          </cell>
          <cell r="W45">
            <v>6220.454545454545</v>
          </cell>
          <cell r="X45">
            <v>0</v>
          </cell>
        </row>
        <row r="46">
          <cell r="A46"/>
          <cell r="N46"/>
          <cell r="O46"/>
        </row>
        <row r="47">
          <cell r="A47"/>
          <cell r="N47" t="str">
            <v>EMB SCH</v>
          </cell>
          <cell r="O47" t="str">
            <v>Capacité Equipements</v>
          </cell>
          <cell r="P47">
            <v>2601</v>
          </cell>
          <cell r="Q47">
            <v>2601</v>
          </cell>
          <cell r="R47">
            <v>2601</v>
          </cell>
          <cell r="S47">
            <v>2601</v>
          </cell>
          <cell r="T47">
            <v>2601</v>
          </cell>
          <cell r="U47">
            <v>2601</v>
          </cell>
          <cell r="V47">
            <v>2601</v>
          </cell>
          <cell r="W47">
            <v>2601</v>
          </cell>
          <cell r="X47">
            <v>0</v>
          </cell>
        </row>
        <row r="48">
          <cell r="A48"/>
          <cell r="N48"/>
          <cell r="O48" t="str">
            <v>Capacité Surfaces</v>
          </cell>
          <cell r="P48">
            <v>3963.8625000000002</v>
          </cell>
          <cell r="Q48">
            <v>3963.8625000000002</v>
          </cell>
          <cell r="R48">
            <v>3963.8625000000002</v>
          </cell>
          <cell r="S48">
            <v>3963.8625000000002</v>
          </cell>
          <cell r="T48">
            <v>3963.8625000000002</v>
          </cell>
          <cell r="U48">
            <v>3963.8625000000002</v>
          </cell>
          <cell r="V48">
            <v>3963.8625000000002</v>
          </cell>
          <cell r="W48">
            <v>3963.8625000000002</v>
          </cell>
          <cell r="X48">
            <v>0</v>
          </cell>
        </row>
        <row r="49">
          <cell r="A49"/>
          <cell r="N49"/>
          <cell r="O49" t="str">
            <v>QP utilisation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</row>
        <row r="50">
          <cell r="A50"/>
          <cell r="N50"/>
          <cell r="O50" t="str">
            <v>QP SCH en pointe</v>
          </cell>
          <cell r="P50">
            <v>0.32</v>
          </cell>
          <cell r="Q50">
            <v>0.2</v>
          </cell>
          <cell r="R50">
            <v>0.2</v>
          </cell>
          <cell r="S50">
            <v>0.3</v>
          </cell>
          <cell r="T50">
            <v>0.3</v>
          </cell>
          <cell r="U50">
            <v>0.3</v>
          </cell>
          <cell r="V50">
            <v>0.56000000000000005</v>
          </cell>
          <cell r="W50">
            <v>0.56000000000000005</v>
          </cell>
          <cell r="X50">
            <v>0.56000000000000005</v>
          </cell>
        </row>
        <row r="51">
          <cell r="A51"/>
          <cell r="N51"/>
          <cell r="O51" t="str">
            <v>Capacité fictive Bloc</v>
          </cell>
          <cell r="P51">
            <v>8128.125</v>
          </cell>
          <cell r="Q51">
            <v>13005</v>
          </cell>
          <cell r="R51">
            <v>13005</v>
          </cell>
          <cell r="S51">
            <v>8670</v>
          </cell>
          <cell r="T51">
            <v>8670</v>
          </cell>
          <cell r="U51">
            <v>8670</v>
          </cell>
          <cell r="V51">
            <v>4644.6428571428569</v>
          </cell>
          <cell r="W51">
            <v>4644.6428571428569</v>
          </cell>
          <cell r="X51">
            <v>0</v>
          </cell>
        </row>
        <row r="52">
          <cell r="A52"/>
          <cell r="O52"/>
        </row>
        <row r="53">
          <cell r="A53"/>
          <cell r="N53" t="str">
            <v>EMB TOT</v>
          </cell>
          <cell r="O53" t="str">
            <v>Capacité Equipements</v>
          </cell>
          <cell r="P53">
            <v>5032</v>
          </cell>
          <cell r="Q53">
            <v>5032</v>
          </cell>
          <cell r="R53">
            <v>5032</v>
          </cell>
          <cell r="S53">
            <v>5032</v>
          </cell>
          <cell r="T53">
            <v>5032</v>
          </cell>
          <cell r="U53">
            <v>4760</v>
          </cell>
          <cell r="V53">
            <v>4760</v>
          </cell>
          <cell r="W53">
            <v>5338</v>
          </cell>
          <cell r="X53">
            <v>0</v>
          </cell>
        </row>
        <row r="54">
          <cell r="A54"/>
          <cell r="N54"/>
          <cell r="O54" t="str">
            <v>Capacité Surfaces</v>
          </cell>
          <cell r="P54">
            <v>6521.3958333333339</v>
          </cell>
          <cell r="Q54">
            <v>6521.3958333333339</v>
          </cell>
          <cell r="R54">
            <v>6521.3958333333339</v>
          </cell>
          <cell r="S54">
            <v>6521.3958333333339</v>
          </cell>
          <cell r="T54">
            <v>6521.3958333333339</v>
          </cell>
          <cell r="U54">
            <v>6521.3958333333339</v>
          </cell>
          <cell r="V54">
            <v>6521.3958333333339</v>
          </cell>
          <cell r="W54">
            <v>6521.3958333333339</v>
          </cell>
          <cell r="X54">
            <v>0</v>
          </cell>
        </row>
        <row r="55">
          <cell r="A55"/>
          <cell r="N55"/>
          <cell r="O55" t="str">
            <v>QP utilisation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</row>
        <row r="56">
          <cell r="A56"/>
          <cell r="N56"/>
          <cell r="O56" t="str">
            <v>Capacité fictive Bloc</v>
          </cell>
          <cell r="P56">
            <v>5032</v>
          </cell>
          <cell r="Q56">
            <v>5032</v>
          </cell>
          <cell r="R56">
            <v>5032</v>
          </cell>
          <cell r="S56">
            <v>5032</v>
          </cell>
          <cell r="T56">
            <v>5032</v>
          </cell>
          <cell r="U56">
            <v>4760</v>
          </cell>
          <cell r="V56">
            <v>4760</v>
          </cell>
          <cell r="W56">
            <v>5338</v>
          </cell>
          <cell r="X56">
            <v>0</v>
          </cell>
        </row>
        <row r="57">
          <cell r="A57"/>
        </row>
        <row r="58">
          <cell r="A58"/>
          <cell r="O58"/>
        </row>
        <row r="59">
          <cell r="A59"/>
          <cell r="N59" t="str">
            <v>Seuil d'alerte proposé</v>
          </cell>
          <cell r="O59" t="str">
            <v>INTER</v>
          </cell>
          <cell r="P59" t="str">
            <v>-</v>
          </cell>
          <cell r="Q59" t="str">
            <v>-</v>
          </cell>
          <cell r="R59" t="str">
            <v>-</v>
          </cell>
          <cell r="S59">
            <v>1600</v>
          </cell>
          <cell r="T59" t="str">
            <v>-</v>
          </cell>
          <cell r="U59">
            <v>1600</v>
          </cell>
          <cell r="V59" t="str">
            <v>-</v>
          </cell>
          <cell r="W59">
            <v>1600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SCH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x</v>
          </cell>
          <cell r="T60" t="str">
            <v>-</v>
          </cell>
          <cell r="U60" t="str">
            <v>x</v>
          </cell>
          <cell r="V60" t="str">
            <v>-</v>
          </cell>
          <cell r="W60" t="str">
            <v>x</v>
          </cell>
          <cell r="X60" t="str">
            <v>-</v>
          </cell>
        </row>
        <row r="61">
          <cell r="A61"/>
          <cell r="N61" t="str">
            <v>Seuil d'alerte proposé</v>
          </cell>
          <cell r="O61" t="str">
            <v>Global</v>
          </cell>
          <cell r="P61" t="str">
            <v>-</v>
          </cell>
          <cell r="Q61" t="str">
            <v>-</v>
          </cell>
          <cell r="R61" t="str">
            <v>-</v>
          </cell>
          <cell r="S61">
            <v>2300</v>
          </cell>
          <cell r="T61" t="str">
            <v>-</v>
          </cell>
          <cell r="U61">
            <v>2300</v>
          </cell>
          <cell r="V61" t="str">
            <v>-</v>
          </cell>
          <cell r="W61">
            <v>2300</v>
          </cell>
          <cell r="X61" t="str">
            <v>-</v>
          </cell>
        </row>
        <row r="62">
          <cell r="A62"/>
          <cell r="O62"/>
        </row>
        <row r="63">
          <cell r="A63"/>
          <cell r="O63"/>
        </row>
        <row r="64">
          <cell r="A64"/>
          <cell r="O64"/>
        </row>
        <row r="65">
          <cell r="A65"/>
        </row>
        <row r="67">
          <cell r="A67"/>
          <cell r="I67"/>
          <cell r="J67"/>
          <cell r="K67"/>
          <cell r="L67"/>
          <cell r="M67"/>
          <cell r="N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</row>
        <row r="68">
          <cell r="A68" t="str">
            <v>Enregistrement</v>
          </cell>
        </row>
        <row r="69">
          <cell r="A69"/>
          <cell r="N69" t="str">
            <v>T2BD - Enregistrement NET</v>
          </cell>
          <cell r="O69"/>
          <cell r="P69" t="str">
            <v>W22</v>
          </cell>
          <cell r="Q69" t="str">
            <v>S23</v>
          </cell>
          <cell r="R69" t="str">
            <v>W23</v>
          </cell>
          <cell r="S69" t="str">
            <v>S24</v>
          </cell>
          <cell r="T69" t="str">
            <v>W24</v>
          </cell>
          <cell r="U69" t="str">
            <v>S25</v>
          </cell>
          <cell r="V69" t="str">
            <v>W25</v>
          </cell>
          <cell r="W69" t="str">
            <v>S26</v>
          </cell>
          <cell r="X69" t="str">
            <v>W26</v>
          </cell>
        </row>
        <row r="70">
          <cell r="A70"/>
          <cell r="N70" t="str">
            <v>Hall 1</v>
          </cell>
          <cell r="O70" t="str">
            <v>Banques</v>
          </cell>
          <cell r="P70">
            <v>26</v>
          </cell>
          <cell r="Q70">
            <v>26</v>
          </cell>
          <cell r="R70">
            <v>26</v>
          </cell>
          <cell r="S70">
            <v>26</v>
          </cell>
          <cell r="T70">
            <v>26</v>
          </cell>
          <cell r="U70">
            <v>26</v>
          </cell>
          <cell r="V70">
            <v>26</v>
          </cell>
          <cell r="W70">
            <v>26</v>
          </cell>
          <cell r="X70">
            <v>26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16</v>
          </cell>
          <cell r="S71">
            <v>16</v>
          </cell>
          <cell r="T71">
            <v>16</v>
          </cell>
          <cell r="U71">
            <v>16</v>
          </cell>
          <cell r="V71">
            <v>16</v>
          </cell>
          <cell r="W71">
            <v>16</v>
          </cell>
          <cell r="X71">
            <v>16</v>
          </cell>
        </row>
        <row r="72">
          <cell r="A72"/>
          <cell r="N72"/>
          <cell r="O72" t="str">
            <v>CUSS</v>
          </cell>
          <cell r="P72">
            <v>10</v>
          </cell>
          <cell r="Q72">
            <v>25</v>
          </cell>
          <cell r="R72">
            <v>25</v>
          </cell>
          <cell r="S72">
            <v>25</v>
          </cell>
          <cell r="T72">
            <v>25</v>
          </cell>
          <cell r="U72">
            <v>30</v>
          </cell>
          <cell r="V72">
            <v>30</v>
          </cell>
          <cell r="W72">
            <v>30</v>
          </cell>
          <cell r="X72">
            <v>30</v>
          </cell>
        </row>
        <row r="73">
          <cell r="A73"/>
          <cell r="N73" t="str">
            <v>Hall 2</v>
          </cell>
          <cell r="O73" t="str">
            <v>Banques</v>
          </cell>
          <cell r="P73">
            <v>24</v>
          </cell>
          <cell r="Q73">
            <v>24</v>
          </cell>
          <cell r="R73">
            <v>24</v>
          </cell>
          <cell r="S73">
            <v>24</v>
          </cell>
          <cell r="T73">
            <v>24</v>
          </cell>
          <cell r="U73">
            <v>24</v>
          </cell>
          <cell r="V73">
            <v>24</v>
          </cell>
          <cell r="W73">
            <v>24</v>
          </cell>
          <cell r="X73">
            <v>24</v>
          </cell>
        </row>
        <row r="74">
          <cell r="A74"/>
          <cell r="N74"/>
          <cell r="O74" t="str">
            <v>DBA</v>
          </cell>
          <cell r="P74">
            <v>12</v>
          </cell>
          <cell r="Q74">
            <v>12</v>
          </cell>
          <cell r="R74">
            <v>18</v>
          </cell>
          <cell r="S74">
            <v>18</v>
          </cell>
          <cell r="T74">
            <v>18</v>
          </cell>
          <cell r="U74">
            <v>18</v>
          </cell>
          <cell r="V74">
            <v>18</v>
          </cell>
          <cell r="W74">
            <v>18</v>
          </cell>
          <cell r="X74">
            <v>18</v>
          </cell>
        </row>
        <row r="75">
          <cell r="A75"/>
          <cell r="N75"/>
          <cell r="O75" t="str">
            <v>CUSS</v>
          </cell>
          <cell r="P75">
            <v>8</v>
          </cell>
          <cell r="Q75">
            <v>21</v>
          </cell>
          <cell r="R75">
            <v>21</v>
          </cell>
          <cell r="S75">
            <v>21</v>
          </cell>
          <cell r="T75">
            <v>21</v>
          </cell>
          <cell r="U75">
            <v>21</v>
          </cell>
          <cell r="V75">
            <v>21</v>
          </cell>
          <cell r="W75">
            <v>21</v>
          </cell>
          <cell r="X75">
            <v>21</v>
          </cell>
        </row>
        <row r="76">
          <cell r="A76"/>
          <cell r="N76" t="str">
            <v>Hall 3</v>
          </cell>
          <cell r="O76" t="str">
            <v>Banques</v>
          </cell>
          <cell r="P76">
            <v>0</v>
          </cell>
          <cell r="Q76">
            <v>22</v>
          </cell>
          <cell r="R76">
            <v>22</v>
          </cell>
          <cell r="S76">
            <v>22</v>
          </cell>
          <cell r="T76">
            <v>22</v>
          </cell>
          <cell r="U76">
            <v>22</v>
          </cell>
          <cell r="V76">
            <v>22</v>
          </cell>
          <cell r="W76">
            <v>22</v>
          </cell>
          <cell r="X76">
            <v>22</v>
          </cell>
        </row>
        <row r="77">
          <cell r="A77"/>
          <cell r="N77"/>
          <cell r="O77" t="str">
            <v>BEM</v>
          </cell>
          <cell r="P77"/>
          <cell r="Q77"/>
          <cell r="R77">
            <v>10</v>
          </cell>
          <cell r="S77">
            <v>10</v>
          </cell>
          <cell r="T77">
            <v>10</v>
          </cell>
          <cell r="U77">
            <v>10</v>
          </cell>
          <cell r="V77">
            <v>10</v>
          </cell>
          <cell r="W77">
            <v>10</v>
          </cell>
          <cell r="X77">
            <v>10</v>
          </cell>
        </row>
        <row r="78">
          <cell r="A78"/>
          <cell r="N78"/>
          <cell r="O78" t="str">
            <v>DBA</v>
          </cell>
          <cell r="P78">
            <v>0</v>
          </cell>
          <cell r="Q78">
            <v>16</v>
          </cell>
          <cell r="R78">
            <v>16</v>
          </cell>
          <cell r="S78">
            <v>16</v>
          </cell>
          <cell r="T78">
            <v>16</v>
          </cell>
          <cell r="U78">
            <v>16</v>
          </cell>
          <cell r="V78">
            <v>16</v>
          </cell>
          <cell r="W78">
            <v>16</v>
          </cell>
          <cell r="X78">
            <v>16</v>
          </cell>
        </row>
        <row r="79">
          <cell r="A79"/>
          <cell r="N79"/>
          <cell r="O79" t="str">
            <v>CUSS</v>
          </cell>
          <cell r="P79">
            <v>0</v>
          </cell>
          <cell r="Q79">
            <v>16</v>
          </cell>
          <cell r="R79">
            <v>16</v>
          </cell>
          <cell r="S79">
            <v>16</v>
          </cell>
          <cell r="T79">
            <v>16</v>
          </cell>
          <cell r="U79">
            <v>16</v>
          </cell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Hall 4</v>
          </cell>
          <cell r="O80" t="str">
            <v>Banques</v>
          </cell>
          <cell r="P80">
            <v>0</v>
          </cell>
          <cell r="Q80">
            <v>29</v>
          </cell>
          <cell r="R80">
            <v>29</v>
          </cell>
          <cell r="S80">
            <v>29</v>
          </cell>
          <cell r="T80">
            <v>29</v>
          </cell>
          <cell r="U80">
            <v>29</v>
          </cell>
          <cell r="V80">
            <v>29</v>
          </cell>
          <cell r="W80">
            <v>29</v>
          </cell>
          <cell r="X80">
            <v>29</v>
          </cell>
        </row>
        <row r="81">
          <cell r="A81"/>
          <cell r="N81"/>
          <cell r="O81" t="str">
            <v>DBA</v>
          </cell>
          <cell r="P81">
            <v>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20</v>
          </cell>
          <cell r="V81">
            <v>20</v>
          </cell>
          <cell r="W81">
            <v>20</v>
          </cell>
          <cell r="X81">
            <v>20</v>
          </cell>
        </row>
        <row r="82">
          <cell r="A82"/>
          <cell r="N82"/>
          <cell r="O82" t="str">
            <v>CUSS</v>
          </cell>
          <cell r="P82">
            <v>0</v>
          </cell>
          <cell r="Q82">
            <v>24</v>
          </cell>
          <cell r="R82">
            <v>24</v>
          </cell>
          <cell r="S82">
            <v>24</v>
          </cell>
          <cell r="T82">
            <v>24</v>
          </cell>
          <cell r="U82">
            <v>24</v>
          </cell>
          <cell r="V82">
            <v>24</v>
          </cell>
          <cell r="W82">
            <v>24</v>
          </cell>
          <cell r="X82">
            <v>24</v>
          </cell>
        </row>
        <row r="83">
          <cell r="A83"/>
          <cell r="N83" t="str">
            <v>GLOBAL</v>
          </cell>
          <cell r="O83" t="str">
            <v>NB Banques</v>
          </cell>
          <cell r="P83">
            <v>50</v>
          </cell>
          <cell r="Q83">
            <v>101</v>
          </cell>
          <cell r="R83">
            <v>101</v>
          </cell>
          <cell r="S83">
            <v>101</v>
          </cell>
          <cell r="T83">
            <v>101</v>
          </cell>
          <cell r="U83">
            <v>101</v>
          </cell>
          <cell r="V83">
            <v>101</v>
          </cell>
          <cell r="W83">
            <v>101</v>
          </cell>
          <cell r="X83">
            <v>101</v>
          </cell>
        </row>
        <row r="84">
          <cell r="A84"/>
          <cell r="N84"/>
          <cell r="O84" t="str">
            <v>NB DBA</v>
          </cell>
          <cell r="P84">
            <v>12</v>
          </cell>
          <cell r="Q84">
            <v>48</v>
          </cell>
          <cell r="R84">
            <v>70</v>
          </cell>
          <cell r="S84">
            <v>70</v>
          </cell>
          <cell r="T84">
            <v>70</v>
          </cell>
          <cell r="U84">
            <v>70</v>
          </cell>
          <cell r="V84">
            <v>70</v>
          </cell>
          <cell r="W84">
            <v>70</v>
          </cell>
          <cell r="X84">
            <v>70</v>
          </cell>
        </row>
        <row r="85">
          <cell r="A85"/>
          <cell r="N85"/>
          <cell r="O85" t="str">
            <v>NB CUSS</v>
          </cell>
          <cell r="P85">
            <v>18</v>
          </cell>
          <cell r="Q85">
            <v>86</v>
          </cell>
          <cell r="R85">
            <v>86</v>
          </cell>
          <cell r="S85">
            <v>86</v>
          </cell>
          <cell r="T85">
            <v>86</v>
          </cell>
          <cell r="U85">
            <v>91</v>
          </cell>
          <cell r="V85">
            <v>91</v>
          </cell>
          <cell r="W85">
            <v>91</v>
          </cell>
          <cell r="X85">
            <v>91</v>
          </cell>
        </row>
        <row r="86">
          <cell r="A86"/>
          <cell r="N86"/>
          <cell r="O86"/>
        </row>
        <row r="87">
          <cell r="A87"/>
          <cell r="N87" t="str">
            <v>Débit</v>
          </cell>
          <cell r="O87"/>
          <cell r="P87">
            <v>26</v>
          </cell>
          <cell r="Q87">
            <v>26</v>
          </cell>
          <cell r="R87">
            <v>26</v>
          </cell>
          <cell r="S87">
            <v>26</v>
          </cell>
          <cell r="T87">
            <v>26</v>
          </cell>
          <cell r="U87">
            <v>26</v>
          </cell>
          <cell r="V87">
            <v>26</v>
          </cell>
          <cell r="W87">
            <v>26</v>
          </cell>
          <cell r="X87">
            <v>26</v>
          </cell>
        </row>
        <row r="88">
          <cell r="A88"/>
          <cell r="N88"/>
          <cell r="O88"/>
        </row>
        <row r="89">
          <cell r="A89"/>
          <cell r="N89" t="str">
            <v>Facteur déproductivité</v>
          </cell>
          <cell r="O89"/>
          <cell r="P89">
            <v>0.9</v>
          </cell>
          <cell r="Q89">
            <v>0.9</v>
          </cell>
          <cell r="R89">
            <v>0.9</v>
          </cell>
          <cell r="S89">
            <v>0.9</v>
          </cell>
          <cell r="T89">
            <v>0.9</v>
          </cell>
          <cell r="U89">
            <v>0.9</v>
          </cell>
          <cell r="V89">
            <v>0.9</v>
          </cell>
          <cell r="W89">
            <v>0.9</v>
          </cell>
          <cell r="X89">
            <v>0.9</v>
          </cell>
        </row>
        <row r="90">
          <cell r="A90"/>
          <cell r="N90"/>
          <cell r="O90"/>
        </row>
        <row r="91">
          <cell r="A91"/>
          <cell r="N91" t="str">
            <v>Débit Enregistrement</v>
          </cell>
          <cell r="O91"/>
          <cell r="P91">
            <v>1170</v>
          </cell>
          <cell r="Q91">
            <v>2363.4</v>
          </cell>
          <cell r="R91">
            <v>2363.4</v>
          </cell>
          <cell r="S91">
            <v>2363.4</v>
          </cell>
          <cell r="T91">
            <v>2363.4</v>
          </cell>
          <cell r="U91">
            <v>2363.4</v>
          </cell>
          <cell r="V91">
            <v>2363.4</v>
          </cell>
          <cell r="W91">
            <v>2363.4</v>
          </cell>
          <cell r="X91">
            <v>2363.4</v>
          </cell>
        </row>
        <row r="92">
          <cell r="A92"/>
          <cell r="N92"/>
          <cell r="O92"/>
        </row>
        <row r="93">
          <cell r="A93"/>
          <cell r="N93"/>
          <cell r="O93"/>
        </row>
        <row r="94">
          <cell r="A94"/>
          <cell r="N94"/>
          <cell r="O94"/>
        </row>
        <row r="95">
          <cell r="A95"/>
          <cell r="N95" t="str">
            <v>T2BD - Surface</v>
          </cell>
          <cell r="O95"/>
          <cell r="P95" t="str">
            <v>W22</v>
          </cell>
          <cell r="Q95" t="str">
            <v>S23</v>
          </cell>
          <cell r="R95" t="str">
            <v>W23</v>
          </cell>
          <cell r="S95" t="str">
            <v>S24</v>
          </cell>
          <cell r="T95" t="str">
            <v>W24</v>
          </cell>
          <cell r="U95" t="str">
            <v>S25</v>
          </cell>
          <cell r="V95" t="str">
            <v>W25</v>
          </cell>
          <cell r="W95" t="str">
            <v>S26</v>
          </cell>
          <cell r="X95" t="str">
            <v>W26</v>
          </cell>
        </row>
        <row r="96">
          <cell r="A96"/>
          <cell r="N96" t="str">
            <v>Hall 1</v>
          </cell>
          <cell r="O96"/>
          <cell r="P96">
            <v>530</v>
          </cell>
          <cell r="Q96">
            <v>530</v>
          </cell>
          <cell r="R96">
            <v>530</v>
          </cell>
          <cell r="S96">
            <v>530</v>
          </cell>
          <cell r="T96">
            <v>530</v>
          </cell>
          <cell r="U96">
            <v>530</v>
          </cell>
          <cell r="V96">
            <v>530</v>
          </cell>
          <cell r="W96">
            <v>530</v>
          </cell>
          <cell r="X96">
            <v>530</v>
          </cell>
        </row>
        <row r="97">
          <cell r="A97"/>
          <cell r="N97" t="str">
            <v>Hall 2</v>
          </cell>
          <cell r="O97"/>
          <cell r="P97">
            <v>445</v>
          </cell>
          <cell r="Q97">
            <v>445</v>
          </cell>
          <cell r="R97">
            <v>445</v>
          </cell>
          <cell r="S97">
            <v>445</v>
          </cell>
          <cell r="T97">
            <v>445</v>
          </cell>
          <cell r="U97">
            <v>445</v>
          </cell>
          <cell r="V97">
            <v>445</v>
          </cell>
          <cell r="W97">
            <v>445</v>
          </cell>
          <cell r="X97">
            <v>445</v>
          </cell>
        </row>
        <row r="98">
          <cell r="A98"/>
          <cell r="N98" t="str">
            <v>Hall 3</v>
          </cell>
          <cell r="O98"/>
          <cell r="P98">
            <v>0</v>
          </cell>
          <cell r="Q98">
            <v>440</v>
          </cell>
          <cell r="R98">
            <v>560</v>
          </cell>
          <cell r="S98">
            <v>560</v>
          </cell>
          <cell r="T98">
            <v>560</v>
          </cell>
          <cell r="U98">
            <v>560</v>
          </cell>
          <cell r="V98">
            <v>560</v>
          </cell>
          <cell r="W98">
            <v>560</v>
          </cell>
          <cell r="X98">
            <v>560</v>
          </cell>
        </row>
        <row r="99">
          <cell r="A99"/>
          <cell r="N99" t="str">
            <v>Hall 4</v>
          </cell>
          <cell r="O99"/>
          <cell r="P99">
            <v>0</v>
          </cell>
          <cell r="Q99">
            <v>495</v>
          </cell>
          <cell r="R99">
            <v>495</v>
          </cell>
          <cell r="S99">
            <v>495</v>
          </cell>
          <cell r="T99">
            <v>495</v>
          </cell>
          <cell r="U99">
            <v>495</v>
          </cell>
          <cell r="V99">
            <v>495</v>
          </cell>
          <cell r="W99">
            <v>495</v>
          </cell>
          <cell r="X99">
            <v>495</v>
          </cell>
        </row>
        <row r="100">
          <cell r="A100"/>
          <cell r="N100" t="str">
            <v>SURFACE GLOBAL</v>
          </cell>
          <cell r="O100"/>
          <cell r="P100">
            <v>975</v>
          </cell>
          <cell r="Q100">
            <v>1910</v>
          </cell>
          <cell r="R100">
            <v>2030</v>
          </cell>
          <cell r="S100">
            <v>2030</v>
          </cell>
          <cell r="T100">
            <v>2030</v>
          </cell>
          <cell r="U100">
            <v>2030</v>
          </cell>
          <cell r="V100">
            <v>2030</v>
          </cell>
          <cell r="W100">
            <v>2030</v>
          </cell>
          <cell r="X100">
            <v>2030</v>
          </cell>
        </row>
        <row r="101">
          <cell r="A101"/>
          <cell r="N101"/>
          <cell r="O101"/>
        </row>
        <row r="102">
          <cell r="A102"/>
          <cell r="N102" t="str">
            <v>Temps d'attente maximum (min)</v>
          </cell>
          <cell r="O102"/>
          <cell r="P102">
            <v>15</v>
          </cell>
          <cell r="Q102">
            <v>15</v>
          </cell>
          <cell r="R102">
            <v>15</v>
          </cell>
          <cell r="S102">
            <v>15</v>
          </cell>
          <cell r="T102">
            <v>15</v>
          </cell>
          <cell r="U102">
            <v>15</v>
          </cell>
          <cell r="V102">
            <v>15</v>
          </cell>
          <cell r="W102">
            <v>15</v>
          </cell>
          <cell r="X102">
            <v>15</v>
          </cell>
        </row>
        <row r="103">
          <cell r="A103"/>
          <cell r="N103" t="str">
            <v>Standard IATA C (m2/PAX)</v>
          </cell>
          <cell r="O103"/>
          <cell r="P103">
            <v>1.4</v>
          </cell>
          <cell r="Q103">
            <v>1.4</v>
          </cell>
          <cell r="R103">
            <v>1.4</v>
          </cell>
          <cell r="S103">
            <v>1.4</v>
          </cell>
          <cell r="T103">
            <v>1.4</v>
          </cell>
          <cell r="U103">
            <v>1.4</v>
          </cell>
          <cell r="V103">
            <v>1.4</v>
          </cell>
          <cell r="W103">
            <v>1.4</v>
          </cell>
          <cell r="X103">
            <v>1.4</v>
          </cell>
        </row>
        <row r="104">
          <cell r="A104"/>
          <cell r="N104"/>
          <cell r="O104"/>
        </row>
        <row r="105">
          <cell r="A105"/>
          <cell r="N105" t="str">
            <v>Attente Enregistrement</v>
          </cell>
          <cell r="O105"/>
          <cell r="P105">
            <v>2785.7142857142858</v>
          </cell>
          <cell r="Q105">
            <v>5457.1428571428578</v>
          </cell>
          <cell r="R105">
            <v>5800</v>
          </cell>
          <cell r="S105">
            <v>5800</v>
          </cell>
          <cell r="T105">
            <v>5800</v>
          </cell>
          <cell r="U105">
            <v>5800</v>
          </cell>
          <cell r="V105">
            <v>5800</v>
          </cell>
          <cell r="W105">
            <v>5800</v>
          </cell>
          <cell r="X105">
            <v>5800</v>
          </cell>
        </row>
        <row r="106">
          <cell r="A106"/>
        </row>
        <row r="107">
          <cell r="A107"/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Tri Bagage</v>
          </cell>
          <cell r="O111" t="str">
            <v>T2BD - PFT NET</v>
          </cell>
          <cell r="P111" t="str">
            <v>W22</v>
          </cell>
          <cell r="Q111" t="str">
            <v>S23</v>
          </cell>
          <cell r="R111" t="str">
            <v>W23</v>
          </cell>
          <cell r="S111" t="str">
            <v>S24</v>
          </cell>
          <cell r="T111" t="str">
            <v>W24</v>
          </cell>
          <cell r="U111" t="str">
            <v>S25</v>
          </cell>
          <cell r="V111" t="str">
            <v>W25</v>
          </cell>
          <cell r="W111" t="str">
            <v>S26</v>
          </cell>
          <cell r="X111" t="str">
            <v>W26</v>
          </cell>
        </row>
        <row r="112">
          <cell r="A112"/>
          <cell r="O112" t="str">
            <v>T2B</v>
          </cell>
          <cell r="P112">
            <v>54</v>
          </cell>
          <cell r="Q112">
            <v>54</v>
          </cell>
          <cell r="R112">
            <v>54</v>
          </cell>
          <cell r="S112">
            <v>54</v>
          </cell>
          <cell r="T112"/>
          <cell r="U112"/>
          <cell r="V112"/>
          <cell r="W112"/>
          <cell r="X112"/>
        </row>
        <row r="113">
          <cell r="A113"/>
          <cell r="O113" t="str">
            <v>T2D</v>
          </cell>
          <cell r="P113">
            <v>0</v>
          </cell>
          <cell r="Q113">
            <v>76</v>
          </cell>
          <cell r="R113">
            <v>76</v>
          </cell>
          <cell r="S113">
            <v>76</v>
          </cell>
          <cell r="T113"/>
          <cell r="U113"/>
          <cell r="V113"/>
          <cell r="W113"/>
          <cell r="X113"/>
        </row>
        <row r="114">
          <cell r="A114"/>
          <cell r="O114" t="str">
            <v>Total</v>
          </cell>
          <cell r="P114">
            <v>54</v>
          </cell>
          <cell r="Q114">
            <v>130</v>
          </cell>
          <cell r="R114">
            <v>130</v>
          </cell>
          <cell r="S114">
            <v>130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/>
          <cell r="O115"/>
        </row>
        <row r="116">
          <cell r="A116"/>
          <cell r="O116" t="str">
            <v>PFT / Banques</v>
          </cell>
          <cell r="P116" t="str">
            <v>W22</v>
          </cell>
          <cell r="Q116" t="str">
            <v>S23</v>
          </cell>
          <cell r="R116" t="str">
            <v>W23</v>
          </cell>
          <cell r="S116" t="str">
            <v>S24</v>
          </cell>
          <cell r="T116" t="str">
            <v>W24</v>
          </cell>
          <cell r="U116" t="str">
            <v>S25</v>
          </cell>
          <cell r="V116" t="str">
            <v>W25</v>
          </cell>
          <cell r="W116" t="str">
            <v>S26</v>
          </cell>
          <cell r="X116" t="str">
            <v>W26</v>
          </cell>
        </row>
        <row r="117">
          <cell r="A117"/>
          <cell r="O117" t="str">
            <v>T2B</v>
          </cell>
          <cell r="P117">
            <v>1.08</v>
          </cell>
          <cell r="Q117">
            <v>1.08</v>
          </cell>
          <cell r="R117">
            <v>1.08</v>
          </cell>
          <cell r="S117">
            <v>1.08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/>
          <cell r="O118" t="str">
            <v>T2D</v>
          </cell>
          <cell r="P118" t="str">
            <v>-</v>
          </cell>
          <cell r="Q118">
            <v>1.4901960784313726</v>
          </cell>
          <cell r="R118">
            <v>1.4901960784313726</v>
          </cell>
          <cell r="S118">
            <v>1.4901960784313726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/>
          <cell r="O119" t="str">
            <v>Global</v>
          </cell>
          <cell r="P119">
            <v>1.08</v>
          </cell>
          <cell r="Q119">
            <v>1.2871287128712872</v>
          </cell>
          <cell r="R119">
            <v>1.2871287128712872</v>
          </cell>
          <cell r="S119">
            <v>1.2871287128712872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1">
          <cell r="A121"/>
          <cell r="I121"/>
          <cell r="J121"/>
          <cell r="K121"/>
          <cell r="L121"/>
          <cell r="M121"/>
          <cell r="N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</row>
        <row r="122">
          <cell r="A122" t="str">
            <v>Frontières DEP</v>
          </cell>
          <cell r="H122" t="str">
            <v>Sans EES</v>
          </cell>
          <cell r="I122"/>
          <cell r="J122"/>
          <cell r="K122"/>
          <cell r="L122"/>
        </row>
        <row r="123">
          <cell r="A123"/>
          <cell r="H123" t="str">
            <v>QP Passeports</v>
          </cell>
          <cell r="I123"/>
          <cell r="J123" t="str">
            <v>T2BD DEP</v>
          </cell>
          <cell r="K123" t="str">
            <v>Aubette</v>
          </cell>
          <cell r="L123" t="str">
            <v>Parafe</v>
          </cell>
          <cell r="M123"/>
          <cell r="N123"/>
          <cell r="O123" t="str">
            <v>T2BD - PAF DEP</v>
          </cell>
          <cell r="P123" t="str">
            <v>W22</v>
          </cell>
          <cell r="Q123" t="str">
            <v>S23</v>
          </cell>
          <cell r="R123" t="str">
            <v>W23</v>
          </cell>
          <cell r="S123" t="str">
            <v>S24</v>
          </cell>
          <cell r="T123" t="str">
            <v>W24</v>
          </cell>
          <cell r="U123" t="str">
            <v>S25</v>
          </cell>
          <cell r="V123" t="str">
            <v>W25</v>
          </cell>
          <cell r="W123" t="str">
            <v>S26</v>
          </cell>
          <cell r="X123" t="str">
            <v>W26</v>
          </cell>
          <cell r="Z123"/>
        </row>
        <row r="124">
          <cell r="A124"/>
          <cell r="H124" t="str">
            <v>UE</v>
          </cell>
          <cell r="I124">
            <v>0.5</v>
          </cell>
          <cell r="J124" t="str">
            <v>Part modale</v>
          </cell>
          <cell r="K124"/>
          <cell r="L124"/>
          <cell r="N124"/>
          <cell r="Z124"/>
        </row>
        <row r="125">
          <cell r="A125"/>
          <cell r="H125" t="str">
            <v>RPT61</v>
          </cell>
          <cell r="I125">
            <v>0.46</v>
          </cell>
          <cell r="J125" t="str">
            <v>UE</v>
          </cell>
          <cell r="K125">
            <v>0.4</v>
          </cell>
          <cell r="L125">
            <v>0.6</v>
          </cell>
          <cell r="M125"/>
          <cell r="N125"/>
          <cell r="O125" t="str">
            <v>NB position aubette</v>
          </cell>
          <cell r="P125">
            <v>8</v>
          </cell>
          <cell r="Q125">
            <v>8</v>
          </cell>
          <cell r="R125">
            <v>8</v>
          </cell>
          <cell r="S125">
            <v>8</v>
          </cell>
          <cell r="T125">
            <v>8</v>
          </cell>
          <cell r="U125">
            <v>8</v>
          </cell>
          <cell r="V125">
            <v>8</v>
          </cell>
          <cell r="W125">
            <v>8</v>
          </cell>
          <cell r="X125">
            <v>8</v>
          </cell>
          <cell r="Z125"/>
        </row>
        <row r="126">
          <cell r="A126"/>
          <cell r="H126" t="str">
            <v>Autres TP</v>
          </cell>
          <cell r="I126">
            <v>3.999999999999998E-2</v>
          </cell>
          <cell r="J126" t="str">
            <v>RPT61</v>
          </cell>
          <cell r="K126">
            <v>0.4</v>
          </cell>
          <cell r="L126">
            <v>0.6</v>
          </cell>
          <cell r="M126"/>
          <cell r="N126"/>
          <cell r="O126" t="str">
            <v>Débit unitaire</v>
          </cell>
          <cell r="P126">
            <v>99</v>
          </cell>
          <cell r="Q126">
            <v>106</v>
          </cell>
          <cell r="R126">
            <v>106</v>
          </cell>
          <cell r="S126">
            <v>106</v>
          </cell>
          <cell r="T126">
            <v>106</v>
          </cell>
          <cell r="U126">
            <v>106</v>
          </cell>
          <cell r="V126">
            <v>106</v>
          </cell>
          <cell r="W126">
            <v>106</v>
          </cell>
          <cell r="X126">
            <v>106</v>
          </cell>
          <cell r="Z126"/>
        </row>
        <row r="127">
          <cell r="A127"/>
          <cell r="I127"/>
          <cell r="J127" t="str">
            <v>Autres TP</v>
          </cell>
          <cell r="K127">
            <v>1</v>
          </cell>
          <cell r="L127"/>
          <cell r="M127"/>
          <cell r="N127"/>
          <cell r="O127" t="str">
            <v>Débit Aubette</v>
          </cell>
          <cell r="P127">
            <v>792</v>
          </cell>
          <cell r="Q127">
            <v>848</v>
          </cell>
          <cell r="R127">
            <v>848</v>
          </cell>
          <cell r="S127">
            <v>848</v>
          </cell>
          <cell r="T127">
            <v>848</v>
          </cell>
          <cell r="U127">
            <v>848</v>
          </cell>
          <cell r="V127">
            <v>848</v>
          </cell>
          <cell r="W127">
            <v>848</v>
          </cell>
          <cell r="X127">
            <v>848</v>
          </cell>
          <cell r="Z127"/>
        </row>
        <row r="128">
          <cell r="A128"/>
          <cell r="J128" t="str">
            <v>TTU</v>
          </cell>
          <cell r="K128"/>
          <cell r="L128"/>
          <cell r="P128"/>
          <cell r="Q128"/>
          <cell r="R128"/>
          <cell r="S128"/>
          <cell r="T128"/>
          <cell r="U128"/>
          <cell r="V128"/>
          <cell r="W128"/>
          <cell r="X128"/>
        </row>
        <row r="129">
          <cell r="A129"/>
          <cell r="J129" t="str">
            <v>UE</v>
          </cell>
          <cell r="K129">
            <v>28</v>
          </cell>
          <cell r="L129">
            <v>31</v>
          </cell>
          <cell r="M129"/>
          <cell r="O129" t="str">
            <v>NB Parafes</v>
          </cell>
          <cell r="P129">
            <v>5</v>
          </cell>
          <cell r="Q129">
            <v>6</v>
          </cell>
          <cell r="R129">
            <v>6</v>
          </cell>
          <cell r="S129">
            <v>6</v>
          </cell>
          <cell r="T129">
            <v>6</v>
          </cell>
          <cell r="U129">
            <v>6</v>
          </cell>
          <cell r="V129">
            <v>6</v>
          </cell>
          <cell r="W129">
            <v>6</v>
          </cell>
          <cell r="X129">
            <v>6</v>
          </cell>
        </row>
        <row r="130">
          <cell r="A130"/>
          <cell r="J130" t="str">
            <v>RPT61</v>
          </cell>
          <cell r="K130">
            <v>39.5</v>
          </cell>
          <cell r="L130">
            <v>31</v>
          </cell>
          <cell r="O130" t="str">
            <v>Débit unitaire</v>
          </cell>
          <cell r="P130">
            <v>116.12903225806451</v>
          </cell>
          <cell r="Q130">
            <v>116</v>
          </cell>
          <cell r="R130">
            <v>116</v>
          </cell>
          <cell r="S130">
            <v>116</v>
          </cell>
          <cell r="T130">
            <v>116</v>
          </cell>
          <cell r="U130">
            <v>116</v>
          </cell>
          <cell r="V130">
            <v>116</v>
          </cell>
          <cell r="W130">
            <v>116</v>
          </cell>
          <cell r="X130">
            <v>116</v>
          </cell>
        </row>
        <row r="131">
          <cell r="A131"/>
          <cell r="J131" t="str">
            <v>Autres TP</v>
          </cell>
          <cell r="K131">
            <v>39.5</v>
          </cell>
          <cell r="L131"/>
          <cell r="M131"/>
          <cell r="O131" t="str">
            <v>Débit Parafe</v>
          </cell>
          <cell r="P131">
            <v>580.64516129032256</v>
          </cell>
          <cell r="Q131">
            <v>696</v>
          </cell>
          <cell r="R131">
            <v>696</v>
          </cell>
          <cell r="S131">
            <v>696</v>
          </cell>
          <cell r="T131">
            <v>696</v>
          </cell>
          <cell r="U131">
            <v>696</v>
          </cell>
          <cell r="V131">
            <v>696</v>
          </cell>
          <cell r="W131">
            <v>696</v>
          </cell>
          <cell r="X131">
            <v>696</v>
          </cell>
        </row>
        <row r="132">
          <cell r="A132"/>
          <cell r="J132" t="str">
            <v>Résultante unitaire</v>
          </cell>
          <cell r="K132"/>
          <cell r="L132"/>
          <cell r="P132"/>
          <cell r="Q132"/>
          <cell r="R132"/>
          <cell r="S132"/>
          <cell r="T132"/>
          <cell r="U132"/>
          <cell r="V132"/>
          <cell r="W132"/>
          <cell r="X132"/>
        </row>
        <row r="133">
          <cell r="A133"/>
          <cell r="J133" t="str">
            <v>PM</v>
          </cell>
          <cell r="K133">
            <v>0.42399999999999999</v>
          </cell>
          <cell r="L133">
            <v>0.57600000000000007</v>
          </cell>
          <cell r="M133"/>
          <cell r="O133" t="str">
            <v>Débit PAF DEP</v>
          </cell>
          <cell r="P133">
            <v>1372.6451612903224</v>
          </cell>
          <cell r="Q133">
            <v>1544</v>
          </cell>
          <cell r="R133">
            <v>1544</v>
          </cell>
          <cell r="S133">
            <v>1544</v>
          </cell>
          <cell r="T133">
            <v>1544</v>
          </cell>
          <cell r="U133">
            <v>1544</v>
          </cell>
          <cell r="V133">
            <v>1544</v>
          </cell>
          <cell r="W133">
            <v>1544</v>
          </cell>
          <cell r="X133">
            <v>1544</v>
          </cell>
        </row>
        <row r="134">
          <cell r="A134"/>
          <cell r="F134"/>
          <cell r="J134" t="str">
            <v>TTU</v>
          </cell>
          <cell r="K134">
            <v>34.075471698113212</v>
          </cell>
          <cell r="L134">
            <v>31</v>
          </cell>
          <cell r="M134"/>
          <cell r="P134"/>
          <cell r="Q134"/>
          <cell r="R134"/>
          <cell r="S134"/>
          <cell r="T134"/>
          <cell r="U134"/>
          <cell r="V134"/>
        </row>
        <row r="135">
          <cell r="A135"/>
          <cell r="J135" t="str">
            <v xml:space="preserve">Débit unitaire </v>
          </cell>
          <cell r="K135">
            <v>105.64784053156144</v>
          </cell>
          <cell r="L135">
            <v>116.12903225806451</v>
          </cell>
          <cell r="M135"/>
          <cell r="P135"/>
          <cell r="Q135"/>
          <cell r="R135"/>
          <cell r="S135"/>
          <cell r="T135"/>
          <cell r="U135"/>
          <cell r="V135"/>
        </row>
        <row r="136">
          <cell r="A136"/>
          <cell r="J136"/>
          <cell r="K136"/>
          <cell r="L136"/>
          <cell r="M136"/>
          <cell r="P136"/>
          <cell r="Q136"/>
          <cell r="R136"/>
          <cell r="S136"/>
          <cell r="T136"/>
          <cell r="U136"/>
          <cell r="V136"/>
        </row>
        <row r="137">
          <cell r="A137"/>
          <cell r="J137"/>
          <cell r="K137"/>
          <cell r="L137"/>
          <cell r="M137"/>
          <cell r="O137" t="str">
            <v>T2BD - Surface PAF DEP</v>
          </cell>
          <cell r="P137" t="str">
            <v>W22</v>
          </cell>
          <cell r="Q137" t="str">
            <v>S23</v>
          </cell>
          <cell r="R137" t="str">
            <v>W23</v>
          </cell>
          <cell r="S137" t="str">
            <v>S24</v>
          </cell>
          <cell r="T137" t="str">
            <v>W24</v>
          </cell>
          <cell r="U137" t="str">
            <v>S25</v>
          </cell>
          <cell r="V137" t="str">
            <v>W25</v>
          </cell>
          <cell r="W137" t="str">
            <v>S26</v>
          </cell>
          <cell r="X137" t="str">
            <v>W26</v>
          </cell>
        </row>
        <row r="138">
          <cell r="A138"/>
          <cell r="H138" t="str">
            <v>Avec EES</v>
          </cell>
          <cell r="I138"/>
          <cell r="J138"/>
          <cell r="K138"/>
          <cell r="L138"/>
          <cell r="O138"/>
        </row>
        <row r="139">
          <cell r="A139"/>
          <cell r="H139" t="str">
            <v>QP Passeports</v>
          </cell>
          <cell r="I139"/>
          <cell r="J139" t="str">
            <v>T2BD DEP</v>
          </cell>
          <cell r="K139" t="str">
            <v>Aubette</v>
          </cell>
          <cell r="L139" t="str">
            <v>Parafe</v>
          </cell>
          <cell r="M139"/>
          <cell r="O139" t="str">
            <v>SURFACE GLOBAL</v>
          </cell>
          <cell r="P139">
            <v>400</v>
          </cell>
          <cell r="Q139">
            <v>400</v>
          </cell>
          <cell r="R139">
            <v>400</v>
          </cell>
          <cell r="S139">
            <v>400</v>
          </cell>
          <cell r="T139">
            <v>390</v>
          </cell>
          <cell r="U139">
            <v>390</v>
          </cell>
          <cell r="V139">
            <v>390</v>
          </cell>
          <cell r="W139">
            <v>390</v>
          </cell>
          <cell r="X139">
            <v>390</v>
          </cell>
        </row>
        <row r="140">
          <cell r="A140"/>
          <cell r="H140" t="str">
            <v>UE</v>
          </cell>
          <cell r="I140">
            <v>0.5</v>
          </cell>
          <cell r="J140" t="str">
            <v>Part modale</v>
          </cell>
          <cell r="K140"/>
          <cell r="L140"/>
          <cell r="O140"/>
        </row>
        <row r="141">
          <cell r="A141"/>
          <cell r="H141" t="str">
            <v>RPT61</v>
          </cell>
          <cell r="I141">
            <v>0.46</v>
          </cell>
          <cell r="J141" t="str">
            <v>UE</v>
          </cell>
          <cell r="K141">
            <v>0.4</v>
          </cell>
          <cell r="L141">
            <v>0.6</v>
          </cell>
          <cell r="M141"/>
          <cell r="O141" t="str">
            <v>Temps d'attente maximum (min)</v>
          </cell>
          <cell r="P141">
            <v>20</v>
          </cell>
          <cell r="Q141">
            <v>20</v>
          </cell>
          <cell r="R141">
            <v>20</v>
          </cell>
          <cell r="S141">
            <v>20</v>
          </cell>
          <cell r="T141">
            <v>20</v>
          </cell>
          <cell r="U141">
            <v>20</v>
          </cell>
          <cell r="V141">
            <v>20</v>
          </cell>
          <cell r="W141">
            <v>20</v>
          </cell>
          <cell r="X141">
            <v>20</v>
          </cell>
        </row>
        <row r="142">
          <cell r="A142"/>
          <cell r="H142" t="str">
            <v>Autres TP</v>
          </cell>
          <cell r="I142">
            <v>3.999999999999998E-2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O142" t="str">
            <v>Standard IATA C (m2/PAX)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O143"/>
        </row>
        <row r="144">
          <cell r="A144"/>
          <cell r="J144" t="str">
            <v>TTU</v>
          </cell>
          <cell r="K144"/>
          <cell r="L144"/>
          <cell r="O144" t="str">
            <v>Attente PAF DEP</v>
          </cell>
          <cell r="P144">
            <v>1200</v>
          </cell>
          <cell r="Q144">
            <v>1200</v>
          </cell>
          <cell r="R144">
            <v>1200</v>
          </cell>
          <cell r="S144">
            <v>1200</v>
          </cell>
          <cell r="T144">
            <v>1170</v>
          </cell>
          <cell r="U144">
            <v>1170</v>
          </cell>
          <cell r="V144">
            <v>1170</v>
          </cell>
          <cell r="W144">
            <v>1170</v>
          </cell>
          <cell r="X144">
            <v>1170</v>
          </cell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P145"/>
          <cell r="Q145"/>
          <cell r="R145"/>
          <cell r="S145"/>
          <cell r="T145"/>
          <cell r="U145"/>
          <cell r="V145"/>
        </row>
        <row r="146">
          <cell r="A146"/>
          <cell r="J146" t="str">
            <v>RPT61</v>
          </cell>
          <cell r="K146">
            <v>39</v>
          </cell>
          <cell r="L146">
            <v>31</v>
          </cell>
          <cell r="P146"/>
          <cell r="Q146"/>
          <cell r="R146"/>
          <cell r="S146"/>
          <cell r="T146"/>
          <cell r="U146"/>
          <cell r="V146"/>
        </row>
        <row r="147">
          <cell r="A147"/>
          <cell r="J147" t="str">
            <v>Autres TP</v>
          </cell>
          <cell r="K147">
            <v>39</v>
          </cell>
          <cell r="L147"/>
          <cell r="M147"/>
          <cell r="P147"/>
          <cell r="Q147"/>
          <cell r="R147"/>
          <cell r="S147"/>
          <cell r="T147"/>
          <cell r="U147"/>
          <cell r="V147"/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</row>
        <row r="149">
          <cell r="A149"/>
          <cell r="J149" t="str">
            <v>PM</v>
          </cell>
          <cell r="K149">
            <v>0.42399999999999999</v>
          </cell>
          <cell r="L149">
            <v>0.57600000000000007</v>
          </cell>
          <cell r="M149"/>
          <cell r="P149"/>
          <cell r="Q149"/>
          <cell r="R149"/>
          <cell r="S149"/>
          <cell r="T149"/>
          <cell r="U149"/>
          <cell r="V149"/>
        </row>
        <row r="150">
          <cell r="A150"/>
          <cell r="J150" t="str">
            <v>TTU</v>
          </cell>
          <cell r="K150">
            <v>33.811320754716981</v>
          </cell>
          <cell r="L150">
            <v>31</v>
          </cell>
          <cell r="M150"/>
          <cell r="P150"/>
          <cell r="Q150"/>
          <cell r="R150"/>
          <cell r="S150"/>
          <cell r="T150"/>
          <cell r="U150"/>
          <cell r="V150"/>
        </row>
        <row r="151">
          <cell r="A151"/>
          <cell r="J151" t="str">
            <v xml:space="preserve">Débit unitaire </v>
          </cell>
          <cell r="K151">
            <v>106.47321428571429</v>
          </cell>
          <cell r="L151">
            <v>116.12903225806451</v>
          </cell>
          <cell r="M151"/>
          <cell r="P151"/>
          <cell r="Q151"/>
          <cell r="R151"/>
          <cell r="S151"/>
          <cell r="T151"/>
          <cell r="U151"/>
          <cell r="V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</row>
        <row r="153">
          <cell r="A153"/>
          <cell r="J153"/>
          <cell r="K153"/>
          <cell r="L153"/>
          <cell r="M153"/>
          <cell r="P153"/>
          <cell r="Q153"/>
          <cell r="R153"/>
          <cell r="S153"/>
          <cell r="T153"/>
          <cell r="U153"/>
          <cell r="V153"/>
        </row>
        <row r="155">
          <cell r="A155"/>
          <cell r="I155"/>
          <cell r="J155"/>
          <cell r="K155"/>
          <cell r="L155"/>
          <cell r="M155"/>
          <cell r="N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 t="str">
            <v>PIF</v>
          </cell>
        </row>
        <row r="157">
          <cell r="A157"/>
          <cell r="H157"/>
          <cell r="I157"/>
          <cell r="O157" t="str">
            <v>T2BD - PIF Centraux</v>
          </cell>
          <cell r="P157" t="str">
            <v>W22</v>
          </cell>
          <cell r="Q157" t="str">
            <v>S23</v>
          </cell>
          <cell r="R157" t="str">
            <v>W23</v>
          </cell>
          <cell r="S157" t="str">
            <v>S24</v>
          </cell>
          <cell r="T157" t="str">
            <v>W24</v>
          </cell>
          <cell r="U157" t="str">
            <v>S25</v>
          </cell>
          <cell r="V157" t="str">
            <v>W25</v>
          </cell>
          <cell r="W157" t="str">
            <v>S26</v>
          </cell>
          <cell r="X157" t="str">
            <v>W26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NB LAM classique</v>
          </cell>
          <cell r="P159">
            <v>10</v>
          </cell>
          <cell r="Q159">
            <v>10</v>
          </cell>
          <cell r="R159">
            <v>10</v>
          </cell>
          <cell r="S159">
            <v>8</v>
          </cell>
          <cell r="T159">
            <v>8</v>
          </cell>
          <cell r="U159">
            <v>8</v>
          </cell>
          <cell r="V159">
            <v>6</v>
          </cell>
          <cell r="W159">
            <v>2</v>
          </cell>
          <cell r="X159">
            <v>2</v>
          </cell>
          <cell r="Y159"/>
        </row>
        <row r="160">
          <cell r="A160"/>
          <cell r="I160"/>
          <cell r="J160"/>
          <cell r="O160" t="str">
            <v>Débit LAM classique</v>
          </cell>
          <cell r="P160">
            <v>230</v>
          </cell>
          <cell r="Q160">
            <v>230</v>
          </cell>
          <cell r="R160">
            <v>230</v>
          </cell>
          <cell r="S160">
            <v>230</v>
          </cell>
          <cell r="T160">
            <v>230</v>
          </cell>
          <cell r="U160">
            <v>230</v>
          </cell>
          <cell r="V160">
            <v>230</v>
          </cell>
          <cell r="W160">
            <v>230</v>
          </cell>
          <cell r="X160">
            <v>230</v>
          </cell>
          <cell r="Y160"/>
        </row>
        <row r="161">
          <cell r="A161"/>
          <cell r="I161"/>
          <cell r="J161"/>
          <cell r="R161"/>
          <cell r="S161"/>
          <cell r="T161"/>
          <cell r="U161"/>
          <cell r="Y161"/>
        </row>
        <row r="162">
          <cell r="A162"/>
          <cell r="I162"/>
          <cell r="J162"/>
          <cell r="O162" t="str">
            <v>NB LAM EDSC</v>
          </cell>
          <cell r="P162"/>
          <cell r="Q162"/>
          <cell r="R162"/>
          <cell r="S162">
            <v>2</v>
          </cell>
          <cell r="T162">
            <v>2</v>
          </cell>
          <cell r="U162">
            <v>2</v>
          </cell>
          <cell r="V162">
            <v>4</v>
          </cell>
          <cell r="W162">
            <v>8</v>
          </cell>
          <cell r="X162">
            <v>8</v>
          </cell>
          <cell r="Y162"/>
        </row>
        <row r="163">
          <cell r="A163"/>
          <cell r="I163"/>
          <cell r="J163"/>
          <cell r="O163" t="str">
            <v>Débit LAM EDSC</v>
          </cell>
          <cell r="S163">
            <v>240</v>
          </cell>
          <cell r="T163">
            <v>240</v>
          </cell>
          <cell r="U163">
            <v>240</v>
          </cell>
          <cell r="V163">
            <v>250</v>
          </cell>
          <cell r="W163">
            <v>250</v>
          </cell>
          <cell r="X163">
            <v>250</v>
          </cell>
          <cell r="Y163"/>
        </row>
        <row r="164">
          <cell r="A164"/>
          <cell r="I164"/>
          <cell r="J164"/>
          <cell r="R164"/>
          <cell r="S164"/>
          <cell r="T164"/>
          <cell r="U164"/>
          <cell r="Y164"/>
        </row>
        <row r="165">
          <cell r="A165"/>
          <cell r="I165"/>
          <cell r="J165"/>
          <cell r="O165" t="str">
            <v>NB STD</v>
          </cell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</row>
        <row r="166">
          <cell r="A166"/>
          <cell r="F166"/>
          <cell r="I166"/>
          <cell r="J166"/>
          <cell r="O166" t="str">
            <v>Débit STD</v>
          </cell>
          <cell r="R166"/>
          <cell r="S166"/>
          <cell r="T166"/>
          <cell r="U166"/>
          <cell r="Y166"/>
        </row>
        <row r="167">
          <cell r="A167"/>
          <cell r="I167"/>
          <cell r="J167"/>
          <cell r="R167"/>
          <cell r="S167"/>
          <cell r="T167"/>
          <cell r="U167"/>
          <cell r="Y167"/>
        </row>
        <row r="168">
          <cell r="A168"/>
          <cell r="I168"/>
          <cell r="J168"/>
          <cell r="O168" t="str">
            <v>Débit PIF</v>
          </cell>
          <cell r="P168">
            <v>2300</v>
          </cell>
          <cell r="Q168">
            <v>2300</v>
          </cell>
          <cell r="R168">
            <v>2300</v>
          </cell>
          <cell r="S168">
            <v>2320</v>
          </cell>
          <cell r="T168">
            <v>2320</v>
          </cell>
          <cell r="U168">
            <v>2320</v>
          </cell>
          <cell r="V168">
            <v>2380</v>
          </cell>
          <cell r="W168">
            <v>2460</v>
          </cell>
          <cell r="X168">
            <v>2460</v>
          </cell>
          <cell r="Y168"/>
        </row>
        <row r="169">
          <cell r="A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</row>
        <row r="171">
          <cell r="A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T2BD - Surface PIF</v>
          </cell>
          <cell r="P173" t="str">
            <v>W22</v>
          </cell>
          <cell r="Q173" t="str">
            <v>S23</v>
          </cell>
          <cell r="R173" t="str">
            <v>W23</v>
          </cell>
          <cell r="S173" t="str">
            <v>S24</v>
          </cell>
          <cell r="T173" t="str">
            <v>W24</v>
          </cell>
          <cell r="U173" t="str">
            <v>S25</v>
          </cell>
          <cell r="V173" t="str">
            <v>W25</v>
          </cell>
          <cell r="W173" t="str">
            <v>S26</v>
          </cell>
          <cell r="X173" t="str">
            <v>W26</v>
          </cell>
          <cell r="Y173"/>
        </row>
        <row r="174">
          <cell r="A174"/>
          <cell r="W174"/>
          <cell r="X174"/>
          <cell r="Y174"/>
        </row>
        <row r="175">
          <cell r="A175"/>
          <cell r="O175" t="str">
            <v>SURFACE GLOBAL</v>
          </cell>
          <cell r="P175">
            <v>671</v>
          </cell>
          <cell r="Q175">
            <v>671</v>
          </cell>
          <cell r="R175">
            <v>671</v>
          </cell>
          <cell r="S175">
            <v>671</v>
          </cell>
          <cell r="T175">
            <v>671</v>
          </cell>
          <cell r="U175">
            <v>671</v>
          </cell>
          <cell r="V175">
            <v>671</v>
          </cell>
          <cell r="W175">
            <v>671</v>
          </cell>
          <cell r="X175">
            <v>671</v>
          </cell>
          <cell r="Y175"/>
        </row>
        <row r="176">
          <cell r="A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O177" t="str">
            <v>Temps d'attente maximum (min)</v>
          </cell>
          <cell r="P177">
            <v>10</v>
          </cell>
          <cell r="Q177">
            <v>10</v>
          </cell>
          <cell r="R177">
            <v>10</v>
          </cell>
          <cell r="S177">
            <v>10</v>
          </cell>
          <cell r="T177">
            <v>10</v>
          </cell>
          <cell r="U177">
            <v>10</v>
          </cell>
          <cell r="V177">
            <v>10</v>
          </cell>
          <cell r="W177">
            <v>10</v>
          </cell>
          <cell r="X177">
            <v>10</v>
          </cell>
          <cell r="Y177"/>
        </row>
        <row r="178">
          <cell r="A178"/>
          <cell r="O178" t="str">
            <v>Standard IATA C (m2/PAX)</v>
          </cell>
          <cell r="P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/>
        </row>
        <row r="179">
          <cell r="A179"/>
          <cell r="Y179"/>
        </row>
        <row r="180">
          <cell r="A180"/>
          <cell r="O180" t="str">
            <v>Attente PIF</v>
          </cell>
          <cell r="P180">
            <v>4026</v>
          </cell>
          <cell r="Q180">
            <v>4026</v>
          </cell>
          <cell r="R180">
            <v>4026</v>
          </cell>
          <cell r="S180">
            <v>4026</v>
          </cell>
          <cell r="T180">
            <v>4026</v>
          </cell>
          <cell r="U180">
            <v>4026</v>
          </cell>
          <cell r="V180">
            <v>4026</v>
          </cell>
          <cell r="W180">
            <v>4026</v>
          </cell>
          <cell r="X180">
            <v>4026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4">
          <cell r="A184"/>
          <cell r="I184"/>
          <cell r="J184"/>
          <cell r="K184"/>
          <cell r="L184"/>
          <cell r="M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 t="str">
            <v>Embarquement</v>
          </cell>
        </row>
        <row r="186">
          <cell r="A186"/>
          <cell r="N186" t="str">
            <v>T2BD - Circuits embarquements NET</v>
          </cell>
          <cell r="O186"/>
          <cell r="P186" t="str">
            <v>W22</v>
          </cell>
          <cell r="Q186" t="str">
            <v>S23</v>
          </cell>
          <cell r="R186" t="str">
            <v>W23</v>
          </cell>
          <cell r="S186" t="str">
            <v>S24</v>
          </cell>
          <cell r="T186" t="str">
            <v>W24</v>
          </cell>
          <cell r="U186" t="str">
            <v>S25</v>
          </cell>
          <cell r="V186" t="str">
            <v>W25</v>
          </cell>
          <cell r="W186" t="str">
            <v>S26</v>
          </cell>
          <cell r="X186" t="str">
            <v>W26</v>
          </cell>
        </row>
        <row r="187">
          <cell r="A187"/>
          <cell r="N187" t="str">
            <v>T2BD Inter - Contact</v>
          </cell>
          <cell r="O187" t="str">
            <v>A/B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/>
        </row>
        <row r="188">
          <cell r="A188"/>
          <cell r="N188"/>
          <cell r="O188" t="str">
            <v>C</v>
          </cell>
          <cell r="P188">
            <v>4</v>
          </cell>
          <cell r="Q188">
            <v>4</v>
          </cell>
          <cell r="R188">
            <v>4</v>
          </cell>
          <cell r="S188">
            <v>4</v>
          </cell>
          <cell r="T188">
            <v>4</v>
          </cell>
          <cell r="U188">
            <v>4</v>
          </cell>
          <cell r="V188">
            <v>4</v>
          </cell>
          <cell r="W188">
            <v>6</v>
          </cell>
          <cell r="X188"/>
        </row>
        <row r="189">
          <cell r="A189"/>
          <cell r="N189"/>
          <cell r="O189" t="str">
            <v>D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E</v>
          </cell>
          <cell r="P190">
            <v>3</v>
          </cell>
          <cell r="Q190">
            <v>3</v>
          </cell>
          <cell r="R190">
            <v>3</v>
          </cell>
          <cell r="S190">
            <v>3</v>
          </cell>
          <cell r="T190">
            <v>3</v>
          </cell>
          <cell r="U190">
            <v>2</v>
          </cell>
          <cell r="V190">
            <v>2</v>
          </cell>
          <cell r="W190">
            <v>2</v>
          </cell>
          <cell r="X190"/>
        </row>
        <row r="191">
          <cell r="A191"/>
          <cell r="N191"/>
          <cell r="O191" t="str">
            <v>F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</row>
        <row r="192">
          <cell r="A192"/>
          <cell r="N192" t="str">
            <v>T2BD Inter - Large</v>
          </cell>
          <cell r="O192" t="str">
            <v>A/B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</row>
        <row r="193">
          <cell r="A193"/>
          <cell r="N193"/>
          <cell r="O193" t="str">
            <v>C</v>
          </cell>
          <cell r="P193">
            <v>3</v>
          </cell>
          <cell r="Q193">
            <v>3</v>
          </cell>
          <cell r="R193">
            <v>3</v>
          </cell>
          <cell r="S193">
            <v>3</v>
          </cell>
          <cell r="T193">
            <v>3</v>
          </cell>
          <cell r="U193">
            <v>3</v>
          </cell>
          <cell r="V193">
            <v>3</v>
          </cell>
          <cell r="W193">
            <v>3</v>
          </cell>
          <cell r="X193"/>
        </row>
        <row r="194">
          <cell r="A194"/>
          <cell r="N194"/>
          <cell r="O194" t="str">
            <v>D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/>
        </row>
        <row r="195">
          <cell r="A195"/>
          <cell r="N195"/>
          <cell r="O195" t="str">
            <v>E</v>
          </cell>
          <cell r="P195">
            <v>2</v>
          </cell>
          <cell r="Q195">
            <v>2</v>
          </cell>
          <cell r="R195">
            <v>2</v>
          </cell>
          <cell r="S195">
            <v>2</v>
          </cell>
          <cell r="T195">
            <v>2</v>
          </cell>
          <cell r="U195">
            <v>2</v>
          </cell>
          <cell r="V195">
            <v>2</v>
          </cell>
          <cell r="W195">
            <v>3</v>
          </cell>
          <cell r="X195"/>
        </row>
        <row r="196">
          <cell r="A196"/>
          <cell r="N196"/>
          <cell r="O196" t="str">
            <v>F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/>
        </row>
        <row r="197">
          <cell r="A197"/>
          <cell r="N197" t="str">
            <v>T2BD INTER Total</v>
          </cell>
          <cell r="O197"/>
          <cell r="P197">
            <v>12</v>
          </cell>
          <cell r="Q197">
            <v>12</v>
          </cell>
          <cell r="R197">
            <v>12</v>
          </cell>
          <cell r="S197">
            <v>12</v>
          </cell>
          <cell r="T197">
            <v>12</v>
          </cell>
          <cell r="U197">
            <v>11</v>
          </cell>
          <cell r="V197">
            <v>11</v>
          </cell>
          <cell r="W197">
            <v>14</v>
          </cell>
          <cell r="X197"/>
        </row>
        <row r="198">
          <cell r="A198"/>
        </row>
        <row r="199">
          <cell r="A199"/>
          <cell r="N199" t="str">
            <v>T2BD Schengen - Contact</v>
          </cell>
          <cell r="O199" t="str">
            <v>A/B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/>
        </row>
        <row r="200">
          <cell r="A200"/>
          <cell r="N200"/>
          <cell r="O200" t="str">
            <v>C</v>
          </cell>
          <cell r="P200">
            <v>9</v>
          </cell>
          <cell r="Q200">
            <v>9</v>
          </cell>
          <cell r="R200">
            <v>9</v>
          </cell>
          <cell r="S200">
            <v>9</v>
          </cell>
          <cell r="T200">
            <v>9</v>
          </cell>
          <cell r="U200">
            <v>9</v>
          </cell>
          <cell r="V200">
            <v>9</v>
          </cell>
          <cell r="W200">
            <v>9</v>
          </cell>
          <cell r="X200"/>
        </row>
        <row r="201">
          <cell r="A201"/>
          <cell r="N201"/>
          <cell r="O201" t="str">
            <v>D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/>
        </row>
        <row r="202">
          <cell r="A202"/>
          <cell r="N202"/>
          <cell r="O202" t="str">
            <v>E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/>
        </row>
        <row r="203">
          <cell r="A203"/>
          <cell r="N203"/>
          <cell r="O203" t="str">
            <v>F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 t="str">
            <v>T2BD Schengen - Large</v>
          </cell>
          <cell r="O204" t="str">
            <v>A/B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C</v>
          </cell>
          <cell r="P205">
            <v>8</v>
          </cell>
          <cell r="Q205">
            <v>8</v>
          </cell>
          <cell r="R205">
            <v>8</v>
          </cell>
          <cell r="S205">
            <v>8</v>
          </cell>
          <cell r="T205">
            <v>8</v>
          </cell>
          <cell r="U205">
            <v>8</v>
          </cell>
          <cell r="V205">
            <v>8</v>
          </cell>
          <cell r="W205">
            <v>8</v>
          </cell>
          <cell r="X205"/>
        </row>
        <row r="206">
          <cell r="A206"/>
          <cell r="N206"/>
          <cell r="O206" t="str">
            <v>D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/>
        </row>
        <row r="207">
          <cell r="A207"/>
          <cell r="N207"/>
          <cell r="O207" t="str">
            <v>E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/>
          <cell r="O208" t="str">
            <v>F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/>
        </row>
        <row r="209">
          <cell r="A209"/>
          <cell r="N209" t="str">
            <v>T2BD Schengen Total</v>
          </cell>
          <cell r="O209"/>
          <cell r="P209">
            <v>17</v>
          </cell>
          <cell r="Q209">
            <v>17</v>
          </cell>
          <cell r="R209">
            <v>17</v>
          </cell>
          <cell r="S209">
            <v>17</v>
          </cell>
          <cell r="T209">
            <v>17</v>
          </cell>
          <cell r="U209">
            <v>17</v>
          </cell>
          <cell r="V209">
            <v>17</v>
          </cell>
          <cell r="W209">
            <v>17</v>
          </cell>
          <cell r="X209"/>
        </row>
        <row r="210">
          <cell r="A210"/>
        </row>
        <row r="211">
          <cell r="A211"/>
        </row>
        <row r="212">
          <cell r="A212"/>
          <cell r="K212" t="str">
            <v>Offre siège porteur</v>
          </cell>
          <cell r="L212"/>
          <cell r="P212"/>
          <cell r="Q212"/>
          <cell r="R212"/>
          <cell r="S212"/>
          <cell r="T212"/>
          <cell r="U212"/>
          <cell r="V212"/>
        </row>
        <row r="213">
          <cell r="A213"/>
          <cell r="K213" t="str">
            <v>A/B</v>
          </cell>
          <cell r="L213">
            <v>80</v>
          </cell>
          <cell r="O213" t="str">
            <v>Débit EMB - INTER</v>
          </cell>
          <cell r="P213">
            <v>2431</v>
          </cell>
          <cell r="Q213">
            <v>2431</v>
          </cell>
          <cell r="R213">
            <v>2431</v>
          </cell>
          <cell r="S213">
            <v>2431</v>
          </cell>
          <cell r="T213">
            <v>2431</v>
          </cell>
          <cell r="U213">
            <v>2159</v>
          </cell>
          <cell r="V213">
            <v>2159</v>
          </cell>
          <cell r="W213">
            <v>2737</v>
          </cell>
          <cell r="X213"/>
        </row>
        <row r="214">
          <cell r="A214"/>
          <cell r="K214" t="str">
            <v>C</v>
          </cell>
          <cell r="L214">
            <v>180</v>
          </cell>
        </row>
        <row r="215">
          <cell r="A215"/>
          <cell r="K215" t="str">
            <v>D</v>
          </cell>
          <cell r="L215">
            <v>250</v>
          </cell>
          <cell r="O215" t="str">
            <v>Débit EMB - SCHENGEN</v>
          </cell>
          <cell r="P215">
            <v>2601</v>
          </cell>
          <cell r="Q215">
            <v>2601</v>
          </cell>
          <cell r="R215">
            <v>2601</v>
          </cell>
          <cell r="S215">
            <v>2601</v>
          </cell>
          <cell r="T215">
            <v>2601</v>
          </cell>
          <cell r="U215">
            <v>2601</v>
          </cell>
          <cell r="V215">
            <v>2601</v>
          </cell>
          <cell r="W215">
            <v>2601</v>
          </cell>
          <cell r="X215"/>
        </row>
        <row r="216">
          <cell r="A216"/>
          <cell r="K216" t="str">
            <v>E</v>
          </cell>
          <cell r="L216">
            <v>320</v>
          </cell>
        </row>
        <row r="217">
          <cell r="A217"/>
          <cell r="K217" t="str">
            <v>F</v>
          </cell>
          <cell r="L217">
            <v>500</v>
          </cell>
        </row>
        <row r="218">
          <cell r="A218"/>
          <cell r="O218" t="str">
            <v>Débit EMB - TOTAL</v>
          </cell>
          <cell r="P218">
            <v>5032</v>
          </cell>
          <cell r="Q218">
            <v>5032</v>
          </cell>
          <cell r="R218">
            <v>5032</v>
          </cell>
          <cell r="S218">
            <v>5032</v>
          </cell>
          <cell r="T218">
            <v>5032</v>
          </cell>
          <cell r="U218">
            <v>4760</v>
          </cell>
          <cell r="V218">
            <v>4760</v>
          </cell>
          <cell r="W218">
            <v>5338</v>
          </cell>
          <cell r="X218"/>
        </row>
        <row r="219">
          <cell r="A219"/>
          <cell r="K219" t="str">
            <v>Taux de remplissage</v>
          </cell>
          <cell r="L219"/>
        </row>
        <row r="220">
          <cell r="A220"/>
          <cell r="K220">
            <v>0.85</v>
          </cell>
          <cell r="L220"/>
          <cell r="M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  <cell r="O227" t="str">
            <v>T2B - Embarquement INTER</v>
          </cell>
          <cell r="P227" t="str">
            <v>W22</v>
          </cell>
          <cell r="Q227" t="str">
            <v>S23</v>
          </cell>
          <cell r="R227" t="str">
            <v>W23</v>
          </cell>
          <cell r="S227" t="str">
            <v>S24</v>
          </cell>
          <cell r="T227" t="str">
            <v>W24</v>
          </cell>
          <cell r="U227" t="str">
            <v>S25</v>
          </cell>
          <cell r="V227" t="str">
            <v>W25</v>
          </cell>
          <cell r="W227" t="str">
            <v>S26</v>
          </cell>
          <cell r="X227" t="str">
            <v>W26</v>
          </cell>
        </row>
        <row r="228">
          <cell r="A228"/>
          <cell r="O228"/>
          <cell r="R228"/>
          <cell r="S228"/>
          <cell r="T228"/>
          <cell r="U228"/>
          <cell r="V228"/>
        </row>
        <row r="229">
          <cell r="A229"/>
          <cell r="O229" t="str">
            <v>Surface d'attente utile (m2)</v>
          </cell>
          <cell r="P229">
            <v>4212</v>
          </cell>
          <cell r="Q229">
            <v>4212</v>
          </cell>
          <cell r="R229">
            <v>4212</v>
          </cell>
          <cell r="S229">
            <v>4212</v>
          </cell>
          <cell r="T229">
            <v>4212</v>
          </cell>
          <cell r="U229">
            <v>4212</v>
          </cell>
          <cell r="V229">
            <v>4212</v>
          </cell>
          <cell r="W229">
            <v>4212</v>
          </cell>
          <cell r="X229"/>
        </row>
        <row r="230">
          <cell r="A230"/>
          <cell r="O230" t="str">
            <v>Temps moyen d'occupation (min)</v>
          </cell>
          <cell r="P230">
            <v>90</v>
          </cell>
          <cell r="Q230">
            <v>90</v>
          </cell>
          <cell r="R230">
            <v>90</v>
          </cell>
          <cell r="S230">
            <v>90</v>
          </cell>
          <cell r="T230">
            <v>90</v>
          </cell>
          <cell r="U230">
            <v>90</v>
          </cell>
          <cell r="V230">
            <v>90</v>
          </cell>
          <cell r="W230">
            <v>90</v>
          </cell>
        </row>
        <row r="231">
          <cell r="A231"/>
          <cell r="O231" t="str">
            <v>Standard IATA (m2/PAX)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</row>
        <row r="232">
          <cell r="A232"/>
          <cell r="O232" t="str">
            <v>Taux d'occupation MAX IATA</v>
          </cell>
          <cell r="P232">
            <v>0.65</v>
          </cell>
          <cell r="Q232">
            <v>0.65</v>
          </cell>
          <cell r="R232">
            <v>0.65</v>
          </cell>
          <cell r="S232">
            <v>0.65</v>
          </cell>
          <cell r="T232">
            <v>0.65</v>
          </cell>
          <cell r="U232">
            <v>0.65</v>
          </cell>
          <cell r="V232">
            <v>0.65</v>
          </cell>
          <cell r="W232">
            <v>0.65</v>
          </cell>
        </row>
        <row r="233">
          <cell r="A233"/>
          <cell r="O233"/>
        </row>
        <row r="234">
          <cell r="A234"/>
          <cell r="O234" t="str">
            <v>Attente EMB T2B INTER</v>
          </cell>
          <cell r="P234">
            <v>1825.2</v>
          </cell>
          <cell r="Q234">
            <v>1825.2</v>
          </cell>
          <cell r="R234">
            <v>1825.2</v>
          </cell>
          <cell r="S234">
            <v>1825.2</v>
          </cell>
          <cell r="T234">
            <v>1825.2</v>
          </cell>
          <cell r="U234">
            <v>1825.2</v>
          </cell>
          <cell r="V234">
            <v>1825.2</v>
          </cell>
          <cell r="W234">
            <v>1825.2</v>
          </cell>
          <cell r="X234"/>
        </row>
        <row r="235">
          <cell r="A235"/>
          <cell r="O235"/>
        </row>
        <row r="236">
          <cell r="A236"/>
          <cell r="O236"/>
        </row>
        <row r="237">
          <cell r="A237"/>
          <cell r="O237"/>
        </row>
        <row r="238">
          <cell r="A238"/>
          <cell r="O238" t="str">
            <v>T2B - Embarquement BI-STATUT</v>
          </cell>
          <cell r="P238" t="str">
            <v>W22</v>
          </cell>
          <cell r="Q238" t="str">
            <v>S23</v>
          </cell>
          <cell r="R238" t="str">
            <v>W23</v>
          </cell>
          <cell r="S238" t="str">
            <v>S24</v>
          </cell>
          <cell r="T238" t="str">
            <v>W24</v>
          </cell>
          <cell r="U238" t="str">
            <v>S25</v>
          </cell>
          <cell r="V238" t="str">
            <v>W25</v>
          </cell>
          <cell r="W238" t="str">
            <v>S26</v>
          </cell>
          <cell r="X238" t="str">
            <v>W26</v>
          </cell>
        </row>
        <row r="239">
          <cell r="A239"/>
          <cell r="O239"/>
          <cell r="R239"/>
          <cell r="S239"/>
          <cell r="T239"/>
          <cell r="U239"/>
          <cell r="V239"/>
        </row>
        <row r="240">
          <cell r="A240"/>
          <cell r="O240" t="str">
            <v>Surface d'attente utile (m2)</v>
          </cell>
          <cell r="P240">
            <v>503</v>
          </cell>
          <cell r="Q240">
            <v>503</v>
          </cell>
          <cell r="R240">
            <v>503</v>
          </cell>
          <cell r="S240">
            <v>503</v>
          </cell>
          <cell r="T240">
            <v>503</v>
          </cell>
          <cell r="U240">
            <v>503</v>
          </cell>
          <cell r="V240">
            <v>503</v>
          </cell>
          <cell r="W240">
            <v>503</v>
          </cell>
          <cell r="X240"/>
        </row>
        <row r="241">
          <cell r="A241"/>
          <cell r="O241" t="str">
            <v>Temps moyen d'occupation (min)</v>
          </cell>
          <cell r="P241">
            <v>90</v>
          </cell>
          <cell r="Q241">
            <v>90</v>
          </cell>
          <cell r="R241">
            <v>90</v>
          </cell>
          <cell r="S241">
            <v>90</v>
          </cell>
          <cell r="T241">
            <v>90</v>
          </cell>
          <cell r="U241">
            <v>90</v>
          </cell>
          <cell r="V241">
            <v>90</v>
          </cell>
          <cell r="W241">
            <v>90</v>
          </cell>
        </row>
        <row r="242">
          <cell r="A242"/>
          <cell r="O242" t="str">
            <v>Standard IATA (m2/PAX)</v>
          </cell>
          <cell r="P242">
            <v>1</v>
          </cell>
          <cell r="Q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V242">
            <v>1</v>
          </cell>
          <cell r="W242">
            <v>1</v>
          </cell>
        </row>
        <row r="243">
          <cell r="A243"/>
          <cell r="O243" t="str">
            <v>Taux d'occupation MAX IATA</v>
          </cell>
          <cell r="P243">
            <v>0.65</v>
          </cell>
          <cell r="Q243">
            <v>0.65</v>
          </cell>
          <cell r="R243">
            <v>0.65</v>
          </cell>
          <cell r="S243">
            <v>0.65</v>
          </cell>
          <cell r="T243">
            <v>0.65</v>
          </cell>
          <cell r="U243">
            <v>0.65</v>
          </cell>
          <cell r="V243">
            <v>0.65</v>
          </cell>
          <cell r="W243">
            <v>0.65</v>
          </cell>
        </row>
        <row r="244">
          <cell r="A244"/>
          <cell r="O244"/>
        </row>
        <row r="245">
          <cell r="A245"/>
          <cell r="O245" t="str">
            <v>Attente EMB T2B BI-STATUT</v>
          </cell>
          <cell r="P245">
            <v>217.96666666666667</v>
          </cell>
          <cell r="Q245">
            <v>217.96666666666667</v>
          </cell>
          <cell r="R245">
            <v>217.96666666666667</v>
          </cell>
          <cell r="S245">
            <v>217.96666666666667</v>
          </cell>
          <cell r="T245">
            <v>217.96666666666667</v>
          </cell>
          <cell r="U245">
            <v>217.96666666666667</v>
          </cell>
          <cell r="V245">
            <v>217.96666666666667</v>
          </cell>
          <cell r="W245">
            <v>217.96666666666667</v>
          </cell>
          <cell r="X245"/>
        </row>
        <row r="246">
          <cell r="A246"/>
          <cell r="O246"/>
        </row>
        <row r="247">
          <cell r="A247"/>
          <cell r="O247"/>
        </row>
        <row r="248">
          <cell r="A248"/>
          <cell r="O248"/>
        </row>
        <row r="249">
          <cell r="A249"/>
          <cell r="O249" t="str">
            <v>T2B - Embarquement LARGE</v>
          </cell>
          <cell r="P249" t="str">
            <v>W22</v>
          </cell>
          <cell r="Q249" t="str">
            <v>S23</v>
          </cell>
          <cell r="R249" t="str">
            <v>W23</v>
          </cell>
          <cell r="S249" t="str">
            <v>S24</v>
          </cell>
          <cell r="T249" t="str">
            <v>W24</v>
          </cell>
          <cell r="U249" t="str">
            <v>S25</v>
          </cell>
          <cell r="V249" t="str">
            <v>W25</v>
          </cell>
          <cell r="W249" t="str">
            <v>S26</v>
          </cell>
          <cell r="X249" t="str">
            <v>W26</v>
          </cell>
        </row>
        <row r="250">
          <cell r="A250"/>
          <cell r="O250"/>
          <cell r="R250"/>
          <cell r="S250"/>
          <cell r="T250"/>
          <cell r="U250"/>
          <cell r="V250"/>
        </row>
        <row r="251">
          <cell r="A251"/>
          <cell r="O251" t="str">
            <v>Surface d'attente utile (m2)</v>
          </cell>
          <cell r="P251">
            <v>1187</v>
          </cell>
          <cell r="Q251">
            <v>1187</v>
          </cell>
          <cell r="R251">
            <v>1187</v>
          </cell>
          <cell r="S251">
            <v>1187</v>
          </cell>
          <cell r="T251">
            <v>1187</v>
          </cell>
          <cell r="U251">
            <v>1187</v>
          </cell>
          <cell r="V251">
            <v>1187</v>
          </cell>
          <cell r="W251">
            <v>1187</v>
          </cell>
          <cell r="X251"/>
        </row>
        <row r="252">
          <cell r="A252"/>
          <cell r="O252" t="str">
            <v>Temps moyen d'occupation (min)</v>
          </cell>
          <cell r="P252">
            <v>90</v>
          </cell>
          <cell r="Q252">
            <v>90</v>
          </cell>
          <cell r="R252">
            <v>90</v>
          </cell>
          <cell r="S252">
            <v>90</v>
          </cell>
          <cell r="T252">
            <v>90</v>
          </cell>
          <cell r="U252">
            <v>90</v>
          </cell>
          <cell r="V252">
            <v>90</v>
          </cell>
          <cell r="W252">
            <v>90</v>
          </cell>
        </row>
        <row r="253">
          <cell r="A253"/>
          <cell r="O253" t="str">
            <v>Standard IATA (m2/PAX)</v>
          </cell>
          <cell r="P253">
            <v>1</v>
          </cell>
          <cell r="Q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V253">
            <v>1</v>
          </cell>
          <cell r="W253">
            <v>1</v>
          </cell>
        </row>
        <row r="254">
          <cell r="A254"/>
          <cell r="O254" t="str">
            <v>Taux d'occupation MAX IATA</v>
          </cell>
          <cell r="P254">
            <v>0.65</v>
          </cell>
          <cell r="Q254">
            <v>0.65</v>
          </cell>
          <cell r="R254">
            <v>0.65</v>
          </cell>
          <cell r="S254">
            <v>0.65</v>
          </cell>
          <cell r="T254">
            <v>0.65</v>
          </cell>
          <cell r="U254">
            <v>0.65</v>
          </cell>
          <cell r="V254">
            <v>0.65</v>
          </cell>
          <cell r="W254">
            <v>0.65</v>
          </cell>
        </row>
        <row r="255">
          <cell r="A255"/>
          <cell r="O255"/>
        </row>
        <row r="256">
          <cell r="A256"/>
          <cell r="O256" t="str">
            <v>Attente EMB T2B Large</v>
          </cell>
          <cell r="P256">
            <v>514.36666666666667</v>
          </cell>
          <cell r="Q256">
            <v>514.36666666666667</v>
          </cell>
          <cell r="R256">
            <v>514.36666666666667</v>
          </cell>
          <cell r="S256">
            <v>514.36666666666667</v>
          </cell>
          <cell r="T256">
            <v>514.36666666666667</v>
          </cell>
          <cell r="U256">
            <v>514.36666666666667</v>
          </cell>
          <cell r="V256">
            <v>514.36666666666667</v>
          </cell>
          <cell r="W256">
            <v>514.36666666666667</v>
          </cell>
          <cell r="X256"/>
        </row>
        <row r="257">
          <cell r="A257"/>
          <cell r="O257"/>
        </row>
        <row r="258">
          <cell r="A258"/>
          <cell r="O258"/>
        </row>
        <row r="259">
          <cell r="A259"/>
        </row>
        <row r="260">
          <cell r="A260"/>
          <cell r="O260" t="str">
            <v>T2D - Embarquement</v>
          </cell>
          <cell r="P260" t="str">
            <v>W22</v>
          </cell>
          <cell r="Q260" t="str">
            <v>S23</v>
          </cell>
          <cell r="R260" t="str">
            <v>W23</v>
          </cell>
          <cell r="S260" t="str">
            <v>S24</v>
          </cell>
          <cell r="T260" t="str">
            <v>W24</v>
          </cell>
          <cell r="U260" t="str">
            <v>S25</v>
          </cell>
          <cell r="V260" t="str">
            <v>W25</v>
          </cell>
          <cell r="W260" t="str">
            <v>S26</v>
          </cell>
          <cell r="X260" t="str">
            <v>W26</v>
          </cell>
        </row>
        <row r="261">
          <cell r="A261"/>
          <cell r="O261"/>
          <cell r="R261"/>
          <cell r="S261"/>
          <cell r="T261"/>
          <cell r="U261"/>
          <cell r="V261"/>
        </row>
        <row r="262">
          <cell r="A262"/>
          <cell r="O262" t="str">
            <v>Surface d'attente utile (m2)</v>
          </cell>
          <cell r="P262">
            <v>6818</v>
          </cell>
          <cell r="Q262">
            <v>6818</v>
          </cell>
          <cell r="R262">
            <v>6818</v>
          </cell>
          <cell r="S262">
            <v>6818</v>
          </cell>
          <cell r="T262">
            <v>6818</v>
          </cell>
          <cell r="U262">
            <v>6818</v>
          </cell>
          <cell r="V262">
            <v>6818</v>
          </cell>
          <cell r="W262">
            <v>6818</v>
          </cell>
          <cell r="X262"/>
        </row>
        <row r="263">
          <cell r="A263"/>
          <cell r="O263" t="str">
            <v>Temps moyen d'occupation (min)</v>
          </cell>
          <cell r="P263">
            <v>80</v>
          </cell>
          <cell r="Q263">
            <v>80</v>
          </cell>
          <cell r="R263">
            <v>80</v>
          </cell>
          <cell r="S263">
            <v>80</v>
          </cell>
          <cell r="T263">
            <v>80</v>
          </cell>
          <cell r="U263">
            <v>80</v>
          </cell>
          <cell r="V263">
            <v>80</v>
          </cell>
          <cell r="W263">
            <v>80</v>
          </cell>
        </row>
        <row r="264">
          <cell r="A264"/>
          <cell r="O264" t="str">
            <v>Standard IATA (m2/PAX)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</row>
        <row r="265">
          <cell r="A265"/>
          <cell r="O265" t="str">
            <v>Taux d'occupation MAX IATA</v>
          </cell>
          <cell r="P265">
            <v>0.65</v>
          </cell>
          <cell r="Q265">
            <v>0.65</v>
          </cell>
          <cell r="R265">
            <v>0.65</v>
          </cell>
          <cell r="S265">
            <v>0.65</v>
          </cell>
          <cell r="T265">
            <v>0.65</v>
          </cell>
          <cell r="U265">
            <v>0.65</v>
          </cell>
          <cell r="V265">
            <v>0.65</v>
          </cell>
          <cell r="W265">
            <v>0.65</v>
          </cell>
        </row>
        <row r="266">
          <cell r="A266"/>
          <cell r="O266"/>
        </row>
        <row r="267">
          <cell r="A267"/>
          <cell r="O267" t="str">
            <v>Attente EMB T2D</v>
          </cell>
          <cell r="P267">
            <v>3323.7750000000001</v>
          </cell>
          <cell r="Q267">
            <v>3323.7750000000001</v>
          </cell>
          <cell r="R267">
            <v>3323.7750000000001</v>
          </cell>
          <cell r="S267">
            <v>3323.7750000000001</v>
          </cell>
          <cell r="T267">
            <v>3323.7750000000001</v>
          </cell>
          <cell r="U267">
            <v>3323.7750000000001</v>
          </cell>
          <cell r="V267">
            <v>3323.7750000000001</v>
          </cell>
          <cell r="W267">
            <v>3323.7750000000001</v>
          </cell>
          <cell r="X267"/>
        </row>
        <row r="268">
          <cell r="A268"/>
          <cell r="O268"/>
        </row>
        <row r="269">
          <cell r="A269"/>
          <cell r="O269"/>
        </row>
        <row r="270">
          <cell r="A270"/>
        </row>
        <row r="271">
          <cell r="A271"/>
          <cell r="O271" t="str">
            <v>T2D - Embarquement LARGE</v>
          </cell>
          <cell r="P271" t="str">
            <v>W22</v>
          </cell>
          <cell r="Q271" t="str">
            <v>S23</v>
          </cell>
          <cell r="R271" t="str">
            <v>W23</v>
          </cell>
          <cell r="S271" t="str">
            <v>S24</v>
          </cell>
          <cell r="T271" t="str">
            <v>W24</v>
          </cell>
          <cell r="U271" t="str">
            <v>S25</v>
          </cell>
          <cell r="V271" t="str">
            <v>W25</v>
          </cell>
          <cell r="W271" t="str">
            <v>S26</v>
          </cell>
          <cell r="X271" t="str">
            <v>W26</v>
          </cell>
        </row>
        <row r="272">
          <cell r="A272"/>
          <cell r="O272"/>
          <cell r="R272"/>
          <cell r="S272"/>
          <cell r="T272"/>
          <cell r="U272"/>
          <cell r="V272"/>
        </row>
        <row r="273">
          <cell r="A273"/>
          <cell r="O273" t="str">
            <v>Surface d'attente utile (m2)</v>
          </cell>
          <cell r="P273">
            <v>1313</v>
          </cell>
          <cell r="Q273">
            <v>1313</v>
          </cell>
          <cell r="R273">
            <v>1313</v>
          </cell>
          <cell r="S273">
            <v>1313</v>
          </cell>
          <cell r="T273">
            <v>1313</v>
          </cell>
          <cell r="U273">
            <v>1313</v>
          </cell>
          <cell r="V273">
            <v>1313</v>
          </cell>
          <cell r="W273">
            <v>1313</v>
          </cell>
          <cell r="X273"/>
        </row>
        <row r="274">
          <cell r="A274"/>
          <cell r="O274" t="str">
            <v>Temps moyen d'occupation (min)</v>
          </cell>
          <cell r="P274">
            <v>80</v>
          </cell>
          <cell r="Q274">
            <v>80</v>
          </cell>
          <cell r="R274">
            <v>80</v>
          </cell>
          <cell r="S274">
            <v>80</v>
          </cell>
          <cell r="T274">
            <v>80</v>
          </cell>
          <cell r="U274">
            <v>80</v>
          </cell>
          <cell r="V274">
            <v>80</v>
          </cell>
          <cell r="W274">
            <v>80</v>
          </cell>
        </row>
        <row r="275">
          <cell r="A275"/>
          <cell r="O275" t="str">
            <v>Standard IATA (m2/PAX)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</row>
        <row r="276">
          <cell r="A276"/>
          <cell r="O276" t="str">
            <v>Taux d'occupation MAX IATA</v>
          </cell>
          <cell r="P276">
            <v>0.65</v>
          </cell>
          <cell r="Q276">
            <v>0.65</v>
          </cell>
          <cell r="R276">
            <v>0.65</v>
          </cell>
          <cell r="S276">
            <v>0.65</v>
          </cell>
          <cell r="T276">
            <v>0.65</v>
          </cell>
          <cell r="U276">
            <v>0.65</v>
          </cell>
          <cell r="V276">
            <v>0.65</v>
          </cell>
          <cell r="W276">
            <v>0.65</v>
          </cell>
        </row>
        <row r="277">
          <cell r="A277"/>
          <cell r="O277"/>
        </row>
        <row r="278">
          <cell r="A278"/>
          <cell r="O278" t="str">
            <v>Attente EMB T2D</v>
          </cell>
          <cell r="P278">
            <v>640.08749999999998</v>
          </cell>
          <cell r="Q278">
            <v>640.08749999999998</v>
          </cell>
          <cell r="R278">
            <v>640.08749999999998</v>
          </cell>
          <cell r="S278">
            <v>640.08749999999998</v>
          </cell>
          <cell r="T278">
            <v>640.08749999999998</v>
          </cell>
          <cell r="U278">
            <v>640.08749999999998</v>
          </cell>
          <cell r="V278">
            <v>640.08749999999998</v>
          </cell>
          <cell r="W278">
            <v>640.08749999999998</v>
          </cell>
          <cell r="X278"/>
        </row>
        <row r="279">
          <cell r="A279"/>
        </row>
        <row r="280">
          <cell r="A280"/>
        </row>
        <row r="281">
          <cell r="A281"/>
        </row>
        <row r="282">
          <cell r="A282"/>
          <cell r="O282" t="str">
            <v>Attente EMB - INTER</v>
          </cell>
          <cell r="P282">
            <v>2557.5333333333333</v>
          </cell>
          <cell r="Q282">
            <v>2557.5333333333333</v>
          </cell>
          <cell r="R282">
            <v>2557.5333333333333</v>
          </cell>
          <cell r="S282">
            <v>2557.5333333333333</v>
          </cell>
          <cell r="T282">
            <v>2557.5333333333333</v>
          </cell>
          <cell r="U282">
            <v>2557.5333333333333</v>
          </cell>
          <cell r="V282">
            <v>2557.5333333333333</v>
          </cell>
          <cell r="W282">
            <v>2557.5333333333333</v>
          </cell>
          <cell r="X282"/>
        </row>
        <row r="283">
          <cell r="A283"/>
        </row>
        <row r="284">
          <cell r="A284"/>
          <cell r="O284" t="str">
            <v>Attente EMB - SCHENGEN</v>
          </cell>
          <cell r="P284">
            <v>3963.8625000000002</v>
          </cell>
          <cell r="Q284">
            <v>3963.8625000000002</v>
          </cell>
          <cell r="R284">
            <v>3963.8625000000002</v>
          </cell>
          <cell r="S284">
            <v>3963.8625000000002</v>
          </cell>
          <cell r="T284">
            <v>3963.8625000000002</v>
          </cell>
          <cell r="U284">
            <v>3963.8625000000002</v>
          </cell>
          <cell r="V284">
            <v>3963.8625000000002</v>
          </cell>
          <cell r="W284">
            <v>3963.8625000000002</v>
          </cell>
          <cell r="X284"/>
        </row>
        <row r="285">
          <cell r="A285"/>
        </row>
        <row r="286">
          <cell r="A286"/>
        </row>
        <row r="287">
          <cell r="A287"/>
          <cell r="O287" t="str">
            <v>Attente EMB - TOTAL</v>
          </cell>
          <cell r="P287">
            <v>6521.3958333333339</v>
          </cell>
          <cell r="Q287">
            <v>6521.3958333333339</v>
          </cell>
          <cell r="R287">
            <v>6521.3958333333339</v>
          </cell>
          <cell r="S287">
            <v>6521.3958333333339</v>
          </cell>
          <cell r="T287">
            <v>6521.3958333333339</v>
          </cell>
          <cell r="U287">
            <v>6521.3958333333339</v>
          </cell>
          <cell r="V287">
            <v>6521.3958333333339</v>
          </cell>
          <cell r="W287">
            <v>6521.3958333333339</v>
          </cell>
          <cell r="X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5">
          <cell r="A295"/>
          <cell r="I295"/>
          <cell r="J295"/>
          <cell r="K295"/>
          <cell r="L295"/>
          <cell r="M295"/>
          <cell r="N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</row>
        <row r="296">
          <cell r="A296" t="str">
            <v>Postes</v>
          </cell>
        </row>
        <row r="297">
          <cell r="A297"/>
          <cell r="N297" t="str">
            <v>T2BD NET1 MAX</v>
          </cell>
          <cell r="O297"/>
          <cell r="P297" t="str">
            <v>W22</v>
          </cell>
          <cell r="Q297" t="str">
            <v>S23</v>
          </cell>
          <cell r="R297" t="str">
            <v>W23</v>
          </cell>
          <cell r="S297" t="str">
            <v>S24</v>
          </cell>
          <cell r="T297" t="str">
            <v>W24</v>
          </cell>
          <cell r="U297" t="str">
            <v>S25</v>
          </cell>
          <cell r="V297" t="str">
            <v>W25</v>
          </cell>
          <cell r="W297" t="str">
            <v>S26</v>
          </cell>
          <cell r="X297" t="str">
            <v>W26</v>
          </cell>
          <cell r="Z297" t="str">
            <v>T2BD BRUT</v>
          </cell>
        </row>
        <row r="298">
          <cell r="A298"/>
          <cell r="N298" t="str">
            <v>T2B - Contact</v>
          </cell>
          <cell r="O298" t="str">
            <v>A/B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/>
          <cell r="Z298" t="str">
            <v>T2BD - Contact</v>
          </cell>
        </row>
        <row r="299">
          <cell r="A299"/>
          <cell r="N299"/>
          <cell r="O299" t="str">
            <v>C</v>
          </cell>
          <cell r="P299">
            <v>4</v>
          </cell>
          <cell r="Q299">
            <v>4</v>
          </cell>
          <cell r="R299">
            <v>4</v>
          </cell>
          <cell r="S299">
            <v>4</v>
          </cell>
          <cell r="T299">
            <v>4</v>
          </cell>
          <cell r="U299">
            <v>4</v>
          </cell>
          <cell r="V299">
            <v>4</v>
          </cell>
          <cell r="W299">
            <v>6</v>
          </cell>
          <cell r="X299"/>
          <cell r="Z299"/>
        </row>
        <row r="300">
          <cell r="A300"/>
          <cell r="N300"/>
          <cell r="O300" t="str">
            <v>D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/>
          <cell r="Z300"/>
        </row>
        <row r="301">
          <cell r="A301"/>
          <cell r="N301"/>
          <cell r="O301" t="str">
            <v>E</v>
          </cell>
          <cell r="P301">
            <v>3</v>
          </cell>
          <cell r="Q301">
            <v>3</v>
          </cell>
          <cell r="R301">
            <v>3</v>
          </cell>
          <cell r="S301">
            <v>3</v>
          </cell>
          <cell r="T301">
            <v>3</v>
          </cell>
          <cell r="U301">
            <v>2</v>
          </cell>
          <cell r="V301">
            <v>2</v>
          </cell>
          <cell r="W301">
            <v>2</v>
          </cell>
          <cell r="X301"/>
          <cell r="Z301"/>
        </row>
        <row r="302">
          <cell r="A302"/>
          <cell r="N302"/>
          <cell r="O302" t="str">
            <v>F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/>
          <cell r="Z302"/>
        </row>
        <row r="303">
          <cell r="A303"/>
          <cell r="N303" t="str">
            <v>T2D - Contact</v>
          </cell>
          <cell r="O303" t="str">
            <v>A/B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/>
          <cell r="Z303"/>
        </row>
        <row r="304">
          <cell r="A304"/>
          <cell r="N304"/>
          <cell r="O304" t="str">
            <v>C</v>
          </cell>
          <cell r="P304">
            <v>8</v>
          </cell>
          <cell r="Q304">
            <v>8</v>
          </cell>
          <cell r="R304">
            <v>8</v>
          </cell>
          <cell r="S304">
            <v>8</v>
          </cell>
          <cell r="T304">
            <v>8</v>
          </cell>
          <cell r="U304">
            <v>8</v>
          </cell>
          <cell r="V304">
            <v>8</v>
          </cell>
          <cell r="W304">
            <v>8</v>
          </cell>
          <cell r="X304"/>
          <cell r="Z304" t="str">
            <v>T2BD - Large</v>
          </cell>
        </row>
        <row r="305">
          <cell r="A305"/>
          <cell r="N305"/>
          <cell r="O305" t="str">
            <v>D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V305">
            <v>1</v>
          </cell>
          <cell r="W305">
            <v>1</v>
          </cell>
          <cell r="X305"/>
          <cell r="Z305"/>
        </row>
        <row r="306">
          <cell r="A306"/>
          <cell r="N306"/>
          <cell r="O306" t="str">
            <v>E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/>
          <cell r="Z306"/>
        </row>
        <row r="307">
          <cell r="A307"/>
          <cell r="N307"/>
          <cell r="O307" t="str">
            <v>F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/>
          <cell r="Z307"/>
        </row>
        <row r="308">
          <cell r="A308"/>
          <cell r="N308" t="str">
            <v>Global - CONTACT</v>
          </cell>
          <cell r="O308" t="str">
            <v>A/B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/>
          <cell r="Z308"/>
        </row>
        <row r="309">
          <cell r="A309"/>
          <cell r="N309"/>
          <cell r="O309" t="str">
            <v>C</v>
          </cell>
          <cell r="P309">
            <v>12</v>
          </cell>
          <cell r="Q309">
            <v>12</v>
          </cell>
          <cell r="R309">
            <v>12</v>
          </cell>
          <cell r="S309">
            <v>12</v>
          </cell>
          <cell r="T309">
            <v>12</v>
          </cell>
          <cell r="U309">
            <v>12</v>
          </cell>
          <cell r="V309">
            <v>12</v>
          </cell>
          <cell r="W309">
            <v>14</v>
          </cell>
          <cell r="X309"/>
          <cell r="Z309"/>
        </row>
        <row r="310">
          <cell r="A310"/>
          <cell r="N310"/>
          <cell r="O310" t="str">
            <v>D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1</v>
          </cell>
          <cell r="X310"/>
        </row>
        <row r="311">
          <cell r="A311"/>
          <cell r="N311"/>
          <cell r="O311" t="str">
            <v>E</v>
          </cell>
          <cell r="P311">
            <v>3</v>
          </cell>
          <cell r="Q311">
            <v>3</v>
          </cell>
          <cell r="R311">
            <v>3</v>
          </cell>
          <cell r="S311">
            <v>3</v>
          </cell>
          <cell r="T311">
            <v>3</v>
          </cell>
          <cell r="U311">
            <v>2</v>
          </cell>
          <cell r="V311">
            <v>2</v>
          </cell>
          <cell r="W311">
            <v>2</v>
          </cell>
          <cell r="X311"/>
        </row>
        <row r="312">
          <cell r="A312"/>
          <cell r="N312"/>
          <cell r="O312" t="str">
            <v>F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/>
        </row>
        <row r="313">
          <cell r="A313"/>
          <cell r="N313"/>
          <cell r="O313" t="str">
            <v>T2BD Contact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15</v>
          </cell>
          <cell r="V313">
            <v>15</v>
          </cell>
          <cell r="W313">
            <v>17</v>
          </cell>
          <cell r="X313"/>
        </row>
        <row r="314">
          <cell r="A314"/>
          <cell r="N314"/>
        </row>
        <row r="315">
          <cell r="A315"/>
          <cell r="N315" t="str">
            <v>Global - LARGE</v>
          </cell>
          <cell r="O315" t="str">
            <v>A/B</v>
          </cell>
          <cell r="P315">
            <v>5</v>
          </cell>
          <cell r="Q315">
            <v>5</v>
          </cell>
          <cell r="R315">
            <v>5</v>
          </cell>
          <cell r="S315">
            <v>5</v>
          </cell>
          <cell r="T315">
            <v>5</v>
          </cell>
          <cell r="U315">
            <v>5</v>
          </cell>
          <cell r="V315">
            <v>5</v>
          </cell>
          <cell r="W315">
            <v>5</v>
          </cell>
          <cell r="X315"/>
        </row>
        <row r="316">
          <cell r="A316"/>
          <cell r="N316"/>
          <cell r="O316" t="str">
            <v>C</v>
          </cell>
          <cell r="P316">
            <v>12</v>
          </cell>
          <cell r="Q316">
            <v>12</v>
          </cell>
          <cell r="R316">
            <v>12</v>
          </cell>
          <cell r="S316">
            <v>14</v>
          </cell>
          <cell r="T316">
            <v>14</v>
          </cell>
          <cell r="U316">
            <v>14</v>
          </cell>
          <cell r="V316">
            <v>14</v>
          </cell>
          <cell r="W316">
            <v>14</v>
          </cell>
          <cell r="X316"/>
        </row>
        <row r="317">
          <cell r="A317"/>
          <cell r="N317"/>
          <cell r="O317" t="str">
            <v>D</v>
          </cell>
          <cell r="P317">
            <v>1</v>
          </cell>
          <cell r="Q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1</v>
          </cell>
          <cell r="X317"/>
        </row>
        <row r="318">
          <cell r="A318"/>
          <cell r="N318"/>
          <cell r="O318" t="str">
            <v>E</v>
          </cell>
          <cell r="P318">
            <v>1</v>
          </cell>
          <cell r="Q318">
            <v>1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/>
        </row>
        <row r="319">
          <cell r="A319"/>
          <cell r="N319"/>
          <cell r="O319" t="str">
            <v>F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/>
        </row>
        <row r="320">
          <cell r="A320"/>
          <cell r="N320"/>
          <cell r="O320" t="str">
            <v>T2BD Large</v>
          </cell>
          <cell r="P320">
            <v>19</v>
          </cell>
          <cell r="Q320">
            <v>19</v>
          </cell>
          <cell r="R320">
            <v>19</v>
          </cell>
          <cell r="S320">
            <v>20</v>
          </cell>
          <cell r="T320">
            <v>20</v>
          </cell>
          <cell r="U320">
            <v>20</v>
          </cell>
          <cell r="V320">
            <v>20</v>
          </cell>
          <cell r="W320">
            <v>20</v>
          </cell>
          <cell r="X320"/>
        </row>
        <row r="321">
          <cell r="A321"/>
        </row>
        <row r="323">
          <cell r="A323"/>
          <cell r="I323"/>
          <cell r="J323"/>
          <cell r="K323"/>
          <cell r="L323"/>
          <cell r="M323"/>
          <cell r="N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</row>
        <row r="324">
          <cell r="A324" t="str">
            <v>Frontières ARR</v>
          </cell>
          <cell r="H324" t="str">
            <v>Sans EES</v>
          </cell>
          <cell r="I324"/>
          <cell r="J324"/>
          <cell r="K324"/>
          <cell r="L324"/>
        </row>
        <row r="325">
          <cell r="A325"/>
          <cell r="H325" t="str">
            <v>QP Passeports</v>
          </cell>
          <cell r="I325"/>
          <cell r="J325" t="str">
            <v>T2BD ARR</v>
          </cell>
          <cell r="K325" t="str">
            <v>Aubette</v>
          </cell>
          <cell r="L325" t="str">
            <v>Parafe</v>
          </cell>
          <cell r="M325"/>
          <cell r="N325"/>
          <cell r="O325" t="str">
            <v>T2BD - PAF ARR</v>
          </cell>
          <cell r="P325" t="str">
            <v>W22</v>
          </cell>
          <cell r="Q325" t="str">
            <v>S23</v>
          </cell>
          <cell r="R325" t="str">
            <v>W23</v>
          </cell>
          <cell r="S325" t="str">
            <v>S24</v>
          </cell>
          <cell r="T325" t="str">
            <v>W24</v>
          </cell>
          <cell r="U325" t="str">
            <v>S25</v>
          </cell>
          <cell r="V325" t="str">
            <v>W25</v>
          </cell>
          <cell r="W325" t="str">
            <v>S26</v>
          </cell>
          <cell r="X325" t="str">
            <v>W26</v>
          </cell>
          <cell r="Z325"/>
        </row>
        <row r="326">
          <cell r="A326"/>
          <cell r="H326" t="str">
            <v>UE</v>
          </cell>
          <cell r="I326">
            <v>0.5</v>
          </cell>
          <cell r="J326" t="str">
            <v>Part modale</v>
          </cell>
          <cell r="K326"/>
          <cell r="L326"/>
          <cell r="N326"/>
          <cell r="Z326"/>
        </row>
        <row r="327">
          <cell r="A327"/>
          <cell r="H327" t="str">
            <v>RPT13</v>
          </cell>
          <cell r="I327">
            <v>0.39</v>
          </cell>
          <cell r="J327" t="str">
            <v>UE</v>
          </cell>
          <cell r="K327">
            <v>0.4</v>
          </cell>
          <cell r="L327">
            <v>0.6</v>
          </cell>
          <cell r="M327"/>
          <cell r="N327"/>
          <cell r="O327" t="str">
            <v>NB position aubette</v>
          </cell>
          <cell r="P327">
            <v>12</v>
          </cell>
          <cell r="Q327">
            <v>12</v>
          </cell>
          <cell r="R327">
            <v>12</v>
          </cell>
          <cell r="S327">
            <v>12</v>
          </cell>
          <cell r="T327">
            <v>12</v>
          </cell>
          <cell r="U327">
            <v>12</v>
          </cell>
          <cell r="V327">
            <v>12</v>
          </cell>
          <cell r="W327">
            <v>12</v>
          </cell>
          <cell r="X327">
            <v>12</v>
          </cell>
          <cell r="Z327"/>
        </row>
        <row r="328">
          <cell r="A328"/>
          <cell r="H328" t="str">
            <v>Autres TP</v>
          </cell>
          <cell r="I328">
            <v>0.10999999999999999</v>
          </cell>
          <cell r="J328" t="str">
            <v>RPT13</v>
          </cell>
          <cell r="K328">
            <v>0.4</v>
          </cell>
          <cell r="L328">
            <v>0.6</v>
          </cell>
          <cell r="M328"/>
          <cell r="N328"/>
          <cell r="O328" t="str">
            <v>Débit unitaire</v>
          </cell>
          <cell r="P328">
            <v>86</v>
          </cell>
          <cell r="Q328">
            <v>93</v>
          </cell>
          <cell r="R328">
            <v>93</v>
          </cell>
          <cell r="S328">
            <v>93</v>
          </cell>
          <cell r="T328">
            <v>93</v>
          </cell>
          <cell r="U328">
            <v>93</v>
          </cell>
          <cell r="V328">
            <v>93</v>
          </cell>
          <cell r="W328">
            <v>68</v>
          </cell>
          <cell r="X328">
            <v>68</v>
          </cell>
          <cell r="Z328"/>
        </row>
        <row r="329">
          <cell r="A329"/>
          <cell r="I329"/>
          <cell r="J329" t="str">
            <v>Autres TP</v>
          </cell>
          <cell r="K329">
            <v>1</v>
          </cell>
          <cell r="L329"/>
          <cell r="M329"/>
          <cell r="N329"/>
          <cell r="O329" t="str">
            <v>Débit Aubette</v>
          </cell>
          <cell r="P329">
            <v>1032</v>
          </cell>
          <cell r="Q329">
            <v>1116</v>
          </cell>
          <cell r="R329">
            <v>1116</v>
          </cell>
          <cell r="S329">
            <v>1116</v>
          </cell>
          <cell r="T329">
            <v>1116</v>
          </cell>
          <cell r="U329">
            <v>1116</v>
          </cell>
          <cell r="V329">
            <v>1116</v>
          </cell>
          <cell r="W329">
            <v>816</v>
          </cell>
          <cell r="X329">
            <v>816</v>
          </cell>
          <cell r="Z329"/>
        </row>
        <row r="330">
          <cell r="A330"/>
          <cell r="J330" t="str">
            <v>TTU</v>
          </cell>
          <cell r="K330"/>
          <cell r="L330"/>
          <cell r="P330"/>
          <cell r="Q330"/>
          <cell r="R330"/>
          <cell r="S330"/>
          <cell r="T330"/>
          <cell r="U330"/>
          <cell r="V330"/>
          <cell r="W330"/>
          <cell r="X330"/>
        </row>
        <row r="331">
          <cell r="A331"/>
          <cell r="J331" t="str">
            <v>UE</v>
          </cell>
          <cell r="K331">
            <v>27</v>
          </cell>
          <cell r="L331">
            <v>31</v>
          </cell>
          <cell r="M331"/>
          <cell r="O331" t="str">
            <v>NB Parafes</v>
          </cell>
          <cell r="P331">
            <v>10</v>
          </cell>
          <cell r="Q331">
            <v>10</v>
          </cell>
          <cell r="R331">
            <v>10</v>
          </cell>
          <cell r="S331">
            <v>10</v>
          </cell>
          <cell r="T331">
            <v>10</v>
          </cell>
          <cell r="U331">
            <v>11</v>
          </cell>
          <cell r="V331">
            <v>11</v>
          </cell>
          <cell r="W331">
            <v>11</v>
          </cell>
          <cell r="X331">
            <v>11</v>
          </cell>
        </row>
        <row r="332">
          <cell r="A332"/>
          <cell r="J332" t="str">
            <v>RPT13</v>
          </cell>
          <cell r="K332">
            <v>47.6</v>
          </cell>
          <cell r="L332">
            <v>31</v>
          </cell>
          <cell r="O332" t="str">
            <v>Débit unitaire</v>
          </cell>
          <cell r="P332">
            <v>116</v>
          </cell>
          <cell r="Q332">
            <v>116</v>
          </cell>
          <cell r="R332">
            <v>116</v>
          </cell>
          <cell r="S332">
            <v>116</v>
          </cell>
          <cell r="T332">
            <v>116</v>
          </cell>
          <cell r="U332">
            <v>116</v>
          </cell>
          <cell r="V332">
            <v>116</v>
          </cell>
          <cell r="W332">
            <v>107</v>
          </cell>
          <cell r="X332">
            <v>107</v>
          </cell>
        </row>
        <row r="333">
          <cell r="A333"/>
          <cell r="J333" t="str">
            <v>Autres TP</v>
          </cell>
          <cell r="K333">
            <v>47.6</v>
          </cell>
          <cell r="L333"/>
          <cell r="M333"/>
          <cell r="O333" t="str">
            <v>Débit Parafe</v>
          </cell>
          <cell r="P333">
            <v>1160</v>
          </cell>
          <cell r="Q333">
            <v>1160</v>
          </cell>
          <cell r="R333">
            <v>1160</v>
          </cell>
          <cell r="S333">
            <v>1160</v>
          </cell>
          <cell r="T333">
            <v>1160</v>
          </cell>
          <cell r="U333">
            <v>1276</v>
          </cell>
          <cell r="V333">
            <v>1276</v>
          </cell>
          <cell r="W333">
            <v>1177</v>
          </cell>
          <cell r="X333">
            <v>1177</v>
          </cell>
        </row>
        <row r="334">
          <cell r="A334"/>
          <cell r="J334" t="str">
            <v>Résultante unitaire</v>
          </cell>
          <cell r="K334"/>
          <cell r="L334"/>
          <cell r="P334"/>
          <cell r="Q334"/>
          <cell r="R334"/>
          <cell r="S334"/>
          <cell r="T334"/>
          <cell r="U334"/>
          <cell r="V334"/>
          <cell r="W334"/>
          <cell r="X334"/>
        </row>
        <row r="335">
          <cell r="A335"/>
          <cell r="J335" t="str">
            <v>PM</v>
          </cell>
          <cell r="K335">
            <v>0.46600000000000003</v>
          </cell>
          <cell r="L335">
            <v>0.53400000000000003</v>
          </cell>
          <cell r="M335"/>
          <cell r="O335" t="str">
            <v>Débit PAF ARR</v>
          </cell>
          <cell r="P335">
            <v>2192</v>
          </cell>
          <cell r="Q335">
            <v>2276</v>
          </cell>
          <cell r="R335">
            <v>2276</v>
          </cell>
          <cell r="S335">
            <v>2276</v>
          </cell>
          <cell r="T335">
            <v>2276</v>
          </cell>
          <cell r="U335">
            <v>2392</v>
          </cell>
          <cell r="V335">
            <v>2392</v>
          </cell>
          <cell r="W335">
            <v>1993</v>
          </cell>
          <cell r="X335">
            <v>1993</v>
          </cell>
        </row>
        <row r="336">
          <cell r="A336"/>
          <cell r="J336" t="str">
            <v>TTU</v>
          </cell>
          <cell r="K336">
            <v>38.758798283261804</v>
          </cell>
          <cell r="L336">
            <v>30.999999999999996</v>
          </cell>
          <cell r="M336"/>
          <cell r="P336"/>
          <cell r="Q336"/>
          <cell r="R336"/>
          <cell r="S336"/>
          <cell r="T336"/>
          <cell r="U336"/>
          <cell r="V336"/>
        </row>
        <row r="337">
          <cell r="A337"/>
          <cell r="J337" t="str">
            <v xml:space="preserve">Débit unitaire </v>
          </cell>
          <cell r="K337">
            <v>92.882136687779592</v>
          </cell>
          <cell r="L337">
            <v>116.12903225806453</v>
          </cell>
          <cell r="M337"/>
          <cell r="P337"/>
          <cell r="Q337"/>
          <cell r="R337"/>
          <cell r="S337"/>
          <cell r="T337"/>
          <cell r="U337"/>
          <cell r="V337"/>
        </row>
        <row r="338">
          <cell r="A338"/>
          <cell r="J338"/>
          <cell r="K338"/>
          <cell r="L338"/>
          <cell r="M338"/>
          <cell r="P338"/>
          <cell r="Q338"/>
          <cell r="R338"/>
          <cell r="S338"/>
          <cell r="T338"/>
          <cell r="U338"/>
          <cell r="V338"/>
        </row>
        <row r="339">
          <cell r="A339"/>
          <cell r="J339"/>
          <cell r="K339"/>
          <cell r="L339"/>
          <cell r="M339"/>
          <cell r="O339" t="str">
            <v>T2BD - Surface PAF ARR</v>
          </cell>
          <cell r="P339" t="str">
            <v>W22</v>
          </cell>
          <cell r="Q339" t="str">
            <v>S23</v>
          </cell>
          <cell r="R339" t="str">
            <v>W23</v>
          </cell>
          <cell r="S339" t="str">
            <v>S24</v>
          </cell>
          <cell r="T339" t="str">
            <v>W24</v>
          </cell>
          <cell r="U339" t="str">
            <v>S25</v>
          </cell>
          <cell r="V339" t="str">
            <v>W25</v>
          </cell>
          <cell r="W339" t="str">
            <v>S26</v>
          </cell>
          <cell r="X339" t="str">
            <v>W26</v>
          </cell>
        </row>
        <row r="340">
          <cell r="A340"/>
          <cell r="H340" t="str">
            <v>Avec EES</v>
          </cell>
          <cell r="I340"/>
          <cell r="J340"/>
          <cell r="K340"/>
          <cell r="L340"/>
          <cell r="O340"/>
        </row>
        <row r="341">
          <cell r="A341"/>
          <cell r="H341" t="str">
            <v>QP Passeports</v>
          </cell>
          <cell r="I341"/>
          <cell r="J341" t="str">
            <v>T2BD ARR</v>
          </cell>
          <cell r="K341" t="str">
            <v>Aubette</v>
          </cell>
          <cell r="L341" t="str">
            <v>Parafe</v>
          </cell>
          <cell r="M341"/>
          <cell r="O341" t="str">
            <v>SURFACE GLOBAL</v>
          </cell>
          <cell r="P341">
            <v>523</v>
          </cell>
          <cell r="Q341">
            <v>523</v>
          </cell>
          <cell r="R341">
            <v>523</v>
          </cell>
          <cell r="S341">
            <v>523</v>
          </cell>
          <cell r="T341">
            <v>523</v>
          </cell>
          <cell r="U341">
            <v>523</v>
          </cell>
          <cell r="V341">
            <v>523</v>
          </cell>
          <cell r="W341">
            <v>523</v>
          </cell>
          <cell r="X341">
            <v>523</v>
          </cell>
        </row>
        <row r="342">
          <cell r="A342"/>
          <cell r="H342" t="str">
            <v>UE</v>
          </cell>
          <cell r="I342">
            <v>0.5</v>
          </cell>
          <cell r="J342" t="str">
            <v>Part modale</v>
          </cell>
          <cell r="K342"/>
          <cell r="L342"/>
          <cell r="O342"/>
        </row>
        <row r="343">
          <cell r="A343"/>
          <cell r="H343" t="str">
            <v>RPT13</v>
          </cell>
          <cell r="I343">
            <v>0.39</v>
          </cell>
          <cell r="J343" t="str">
            <v>UE</v>
          </cell>
          <cell r="K343">
            <v>0.4</v>
          </cell>
          <cell r="L343">
            <v>0.6</v>
          </cell>
          <cell r="M343"/>
          <cell r="O343" t="str">
            <v>Temps d'attente maximum (min)</v>
          </cell>
          <cell r="P343">
            <v>20</v>
          </cell>
          <cell r="Q343">
            <v>20</v>
          </cell>
          <cell r="R343">
            <v>20</v>
          </cell>
          <cell r="S343">
            <v>20</v>
          </cell>
          <cell r="T343">
            <v>20</v>
          </cell>
          <cell r="U343">
            <v>20</v>
          </cell>
          <cell r="V343">
            <v>20</v>
          </cell>
          <cell r="W343">
            <v>20</v>
          </cell>
          <cell r="X343">
            <v>20</v>
          </cell>
        </row>
        <row r="344">
          <cell r="A344"/>
          <cell r="H344" t="str">
            <v>Autres TP</v>
          </cell>
          <cell r="I344">
            <v>0.11</v>
          </cell>
          <cell r="J344" t="str">
            <v>RPT13</v>
          </cell>
          <cell r="K344">
            <v>0.4</v>
          </cell>
          <cell r="L344">
            <v>0.6</v>
          </cell>
          <cell r="M344"/>
          <cell r="O344" t="str">
            <v>Standard IATA C (m2/PAX)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V344">
            <v>1</v>
          </cell>
          <cell r="W344">
            <v>1</v>
          </cell>
          <cell r="X344">
            <v>1</v>
          </cell>
        </row>
        <row r="345">
          <cell r="A345"/>
          <cell r="I345"/>
          <cell r="J345" t="str">
            <v>Autres TP</v>
          </cell>
          <cell r="K345">
            <v>1</v>
          </cell>
          <cell r="L345"/>
          <cell r="M345"/>
          <cell r="O345"/>
        </row>
        <row r="346">
          <cell r="A346"/>
          <cell r="J346" t="str">
            <v>TTU</v>
          </cell>
          <cell r="K346"/>
          <cell r="L346"/>
          <cell r="O346" t="str">
            <v>Attente PAF ARR</v>
          </cell>
          <cell r="P346">
            <v>1569</v>
          </cell>
          <cell r="Q346">
            <v>1569</v>
          </cell>
          <cell r="R346">
            <v>1569</v>
          </cell>
          <cell r="S346">
            <v>1569</v>
          </cell>
          <cell r="T346">
            <v>1569</v>
          </cell>
          <cell r="U346">
            <v>1569</v>
          </cell>
          <cell r="V346">
            <v>1569</v>
          </cell>
          <cell r="W346">
            <v>1569</v>
          </cell>
          <cell r="X346">
            <v>1569</v>
          </cell>
        </row>
        <row r="347">
          <cell r="A347"/>
          <cell r="J347" t="str">
            <v>UE</v>
          </cell>
          <cell r="K347">
            <v>27</v>
          </cell>
          <cell r="L347">
            <v>31</v>
          </cell>
          <cell r="M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</row>
        <row r="348">
          <cell r="A348"/>
          <cell r="J348" t="str">
            <v>RPT13</v>
          </cell>
          <cell r="K348">
            <v>72</v>
          </cell>
          <cell r="L348">
            <v>37</v>
          </cell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</row>
        <row r="349">
          <cell r="A349"/>
          <cell r="J349" t="str">
            <v>Autres TP</v>
          </cell>
          <cell r="K349">
            <v>72</v>
          </cell>
          <cell r="L349"/>
          <cell r="M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J350" t="str">
            <v>Résultante unitaire</v>
          </cell>
          <cell r="K350"/>
          <cell r="L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</row>
        <row r="351">
          <cell r="A351"/>
          <cell r="J351" t="str">
            <v>PM</v>
          </cell>
          <cell r="K351">
            <v>0.46600000000000003</v>
          </cell>
          <cell r="L351">
            <v>0.53400000000000003</v>
          </cell>
          <cell r="M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</row>
        <row r="352">
          <cell r="A352"/>
          <cell r="J352" t="str">
            <v>TTU</v>
          </cell>
          <cell r="K352">
            <v>52.686695278969971</v>
          </cell>
          <cell r="L352">
            <v>33.62921348314606</v>
          </cell>
          <cell r="M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J353" t="str">
            <v xml:space="preserve">Débit unitaire </v>
          </cell>
          <cell r="K353">
            <v>68.328445747800572</v>
          </cell>
          <cell r="L353">
            <v>107.04978282659542</v>
          </cell>
          <cell r="M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</row>
        <row r="354">
          <cell r="A354"/>
          <cell r="J354"/>
          <cell r="K354"/>
          <cell r="L354"/>
          <cell r="M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</row>
        <row r="355">
          <cell r="A355"/>
          <cell r="I355"/>
          <cell r="J355"/>
          <cell r="K355"/>
          <cell r="L355"/>
          <cell r="M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T2BD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4</v>
          </cell>
          <cell r="Q363">
            <v>4</v>
          </cell>
          <cell r="R363">
            <v>4</v>
          </cell>
          <cell r="S363">
            <v>4</v>
          </cell>
          <cell r="T363">
            <v>4</v>
          </cell>
          <cell r="U363">
            <v>4</v>
          </cell>
          <cell r="V363">
            <v>4</v>
          </cell>
          <cell r="W363">
            <v>4</v>
          </cell>
          <cell r="X363">
            <v>4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</row>
        <row r="368">
          <cell r="A368"/>
        </row>
        <row r="369">
          <cell r="A369"/>
        </row>
        <row r="370">
          <cell r="A370"/>
        </row>
        <row r="371">
          <cell r="A371"/>
        </row>
        <row r="372">
          <cell r="A372"/>
        </row>
        <row r="373">
          <cell r="A373"/>
        </row>
        <row r="374">
          <cell r="A374"/>
        </row>
        <row r="375">
          <cell r="A375"/>
        </row>
      </sheetData>
      <sheetData sheetId="6">
        <row r="1">
          <cell r="B1" t="str">
            <v>T2E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T2E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  <cell r="Y4" t="str">
            <v>S27</v>
          </cell>
          <cell r="Z4" t="str">
            <v>W27</v>
          </cell>
        </row>
        <row r="5">
          <cell r="A5"/>
          <cell r="O5" t="str">
            <v>Capacité Officielle INT</v>
          </cell>
          <cell r="P5">
            <v>25</v>
          </cell>
          <cell r="Q5">
            <v>25</v>
          </cell>
          <cell r="R5">
            <v>25</v>
          </cell>
          <cell r="S5">
            <v>25</v>
          </cell>
          <cell r="T5">
            <v>25</v>
          </cell>
          <cell r="U5">
            <v>25</v>
          </cell>
          <cell r="V5">
            <v>25</v>
          </cell>
          <cell r="W5">
            <v>25</v>
          </cell>
          <cell r="X5">
            <v>25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25</v>
          </cell>
          <cell r="V7">
            <v>25</v>
          </cell>
          <cell r="W7">
            <v>25</v>
          </cell>
          <cell r="X7">
            <v>25</v>
          </cell>
          <cell r="Y7"/>
          <cell r="Z7"/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5600</v>
          </cell>
          <cell r="Q11">
            <v>5600</v>
          </cell>
          <cell r="R11">
            <v>5600</v>
          </cell>
          <cell r="S11">
            <v>5600</v>
          </cell>
          <cell r="T11">
            <v>5600</v>
          </cell>
          <cell r="U11">
            <v>5600</v>
          </cell>
          <cell r="V11">
            <v>5600</v>
          </cell>
          <cell r="W11">
            <v>5600</v>
          </cell>
          <cell r="X11">
            <v>5600</v>
          </cell>
          <cell r="Y11"/>
          <cell r="Z11"/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T2E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  <cell r="Y18" t="str">
            <v>S27</v>
          </cell>
          <cell r="Z18" t="str">
            <v>W27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5086</v>
          </cell>
          <cell r="R20"/>
          <cell r="S20">
            <v>5572</v>
          </cell>
          <cell r="T20"/>
          <cell r="U20">
            <v>5738</v>
          </cell>
          <cell r="V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5086</v>
          </cell>
          <cell r="R22"/>
          <cell r="S22">
            <v>5572</v>
          </cell>
          <cell r="T22"/>
          <cell r="U22">
            <v>5738</v>
          </cell>
          <cell r="V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</row>
        <row r="26">
          <cell r="A26"/>
          <cell r="N26"/>
          <cell r="O26" t="str">
            <v>QP utilisation</v>
          </cell>
          <cell r="P26">
            <v>0.45</v>
          </cell>
          <cell r="Q26">
            <v>0.45</v>
          </cell>
          <cell r="R26">
            <v>0.45</v>
          </cell>
          <cell r="S26">
            <v>0.45</v>
          </cell>
          <cell r="T26">
            <v>0.45</v>
          </cell>
          <cell r="U26">
            <v>0.45</v>
          </cell>
          <cell r="V26">
            <v>0.45</v>
          </cell>
          <cell r="W26">
            <v>0.45</v>
          </cell>
          <cell r="X26">
            <v>0.45</v>
          </cell>
          <cell r="Y26">
            <v>0.45</v>
          </cell>
          <cell r="Z26">
            <v>0.45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</row>
        <row r="40">
          <cell r="A40"/>
          <cell r="N40"/>
          <cell r="O40" t="str">
            <v>Capacité Surfaces</v>
          </cell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</row>
        <row r="41">
          <cell r="A41"/>
          <cell r="N41"/>
          <cell r="O41" t="str">
            <v>QP utilisation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</row>
        <row r="42">
          <cell r="A42"/>
          <cell r="N42"/>
          <cell r="O42" t="str">
            <v>Capacité fictive Bloc</v>
          </cell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5">
          <cell r="A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</row>
        <row r="56">
          <cell r="A56" t="str">
            <v>Enregistrement</v>
          </cell>
        </row>
        <row r="57">
          <cell r="A57"/>
          <cell r="N57" t="str">
            <v>T2E - Enregistrement NET</v>
          </cell>
          <cell r="O57"/>
          <cell r="P57" t="str">
            <v>W22</v>
          </cell>
          <cell r="Q57" t="str">
            <v>S23</v>
          </cell>
          <cell r="R57" t="str">
            <v>W23</v>
          </cell>
          <cell r="S57" t="str">
            <v>S24</v>
          </cell>
          <cell r="T57" t="str">
            <v>W24</v>
          </cell>
          <cell r="U57" t="str">
            <v>S25</v>
          </cell>
          <cell r="V57" t="str">
            <v>W25</v>
          </cell>
          <cell r="W57" t="str">
            <v>S26</v>
          </cell>
          <cell r="X57" t="str">
            <v>W26</v>
          </cell>
          <cell r="Y57" t="str">
            <v>S27</v>
          </cell>
          <cell r="Z57" t="str">
            <v>W27</v>
          </cell>
        </row>
        <row r="58">
          <cell r="A58"/>
          <cell r="N58" t="str">
            <v>GB 2</v>
          </cell>
          <cell r="O58" t="str">
            <v>Banques</v>
          </cell>
          <cell r="P58">
            <v>13</v>
          </cell>
          <cell r="Q58">
            <v>13</v>
          </cell>
          <cell r="R58">
            <v>13</v>
          </cell>
          <cell r="S58">
            <v>13</v>
          </cell>
          <cell r="T58">
            <v>13</v>
          </cell>
          <cell r="U58">
            <v>13</v>
          </cell>
          <cell r="V58">
            <v>13</v>
          </cell>
          <cell r="W58">
            <v>13</v>
          </cell>
          <cell r="X58">
            <v>13</v>
          </cell>
          <cell r="Y58"/>
          <cell r="Z58"/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/>
          <cell r="Z59"/>
        </row>
        <row r="60">
          <cell r="A60"/>
          <cell r="N60"/>
          <cell r="O60" t="str">
            <v>TS6</v>
          </cell>
          <cell r="P60">
            <v>4</v>
          </cell>
          <cell r="Q60">
            <v>4</v>
          </cell>
          <cell r="R60">
            <v>4</v>
          </cell>
          <cell r="S60">
            <v>4</v>
          </cell>
          <cell r="T60">
            <v>4</v>
          </cell>
          <cell r="U60">
            <v>4</v>
          </cell>
          <cell r="V60">
            <v>4</v>
          </cell>
          <cell r="W60">
            <v>4</v>
          </cell>
          <cell r="X60">
            <v>4</v>
          </cell>
          <cell r="Y60"/>
          <cell r="Z60"/>
        </row>
        <row r="61">
          <cell r="A61"/>
          <cell r="N61" t="str">
            <v>GB 3</v>
          </cell>
          <cell r="O61" t="str">
            <v>Banques</v>
          </cell>
          <cell r="P61">
            <v>13</v>
          </cell>
          <cell r="Q61">
            <v>13</v>
          </cell>
          <cell r="R61">
            <v>13</v>
          </cell>
          <cell r="S61">
            <v>13</v>
          </cell>
          <cell r="T61">
            <v>13</v>
          </cell>
          <cell r="U61">
            <v>13</v>
          </cell>
          <cell r="V61">
            <v>13</v>
          </cell>
          <cell r="W61">
            <v>13</v>
          </cell>
          <cell r="X61">
            <v>13</v>
          </cell>
          <cell r="Y61"/>
          <cell r="Z61"/>
        </row>
        <row r="62">
          <cell r="A62"/>
          <cell r="N62"/>
          <cell r="O62" t="str">
            <v>DBA</v>
          </cell>
          <cell r="P62">
            <v>11</v>
          </cell>
          <cell r="Q62">
            <v>11</v>
          </cell>
          <cell r="R62">
            <v>11</v>
          </cell>
          <cell r="S62">
            <v>11</v>
          </cell>
          <cell r="T62">
            <v>11</v>
          </cell>
          <cell r="U62">
            <v>11</v>
          </cell>
          <cell r="V62">
            <v>11</v>
          </cell>
          <cell r="W62">
            <v>11</v>
          </cell>
          <cell r="X62">
            <v>11</v>
          </cell>
          <cell r="Y62"/>
          <cell r="Z62"/>
        </row>
        <row r="63">
          <cell r="A63"/>
          <cell r="N63"/>
          <cell r="O63" t="str">
            <v>TS6</v>
          </cell>
          <cell r="P63">
            <v>10</v>
          </cell>
          <cell r="Q63">
            <v>10</v>
          </cell>
          <cell r="R63">
            <v>10</v>
          </cell>
          <cell r="S63">
            <v>10</v>
          </cell>
          <cell r="T63">
            <v>10</v>
          </cell>
          <cell r="U63">
            <v>10</v>
          </cell>
          <cell r="V63">
            <v>10</v>
          </cell>
          <cell r="W63">
            <v>10</v>
          </cell>
          <cell r="X63">
            <v>10</v>
          </cell>
          <cell r="Y63"/>
          <cell r="Z63"/>
        </row>
        <row r="64">
          <cell r="A64"/>
          <cell r="N64" t="str">
            <v>GB 4</v>
          </cell>
          <cell r="O64" t="str">
            <v>Banques</v>
          </cell>
          <cell r="P64">
            <v>13</v>
          </cell>
          <cell r="Q64">
            <v>13</v>
          </cell>
          <cell r="R64">
            <v>13</v>
          </cell>
          <cell r="S64">
            <v>13</v>
          </cell>
          <cell r="T64">
            <v>13</v>
          </cell>
          <cell r="U64">
            <v>13</v>
          </cell>
          <cell r="V64">
            <v>13</v>
          </cell>
          <cell r="W64">
            <v>13</v>
          </cell>
          <cell r="X64">
            <v>13</v>
          </cell>
          <cell r="Y64"/>
          <cell r="Z64"/>
        </row>
        <row r="65">
          <cell r="A65"/>
          <cell r="N65"/>
          <cell r="O65" t="str">
            <v>DBA</v>
          </cell>
          <cell r="P65">
            <v>7</v>
          </cell>
          <cell r="Q65">
            <v>7</v>
          </cell>
          <cell r="R65">
            <v>7</v>
          </cell>
          <cell r="S65">
            <v>7</v>
          </cell>
          <cell r="T65">
            <v>7</v>
          </cell>
          <cell r="U65">
            <v>7</v>
          </cell>
          <cell r="V65">
            <v>13</v>
          </cell>
          <cell r="W65">
            <v>13</v>
          </cell>
          <cell r="X65">
            <v>13</v>
          </cell>
          <cell r="Y65"/>
          <cell r="Z65"/>
        </row>
        <row r="66">
          <cell r="A66"/>
          <cell r="N66"/>
          <cell r="O66" t="str">
            <v>TS6</v>
          </cell>
          <cell r="P66">
            <v>11</v>
          </cell>
          <cell r="Q66">
            <v>11</v>
          </cell>
          <cell r="R66">
            <v>11</v>
          </cell>
          <cell r="S66">
            <v>11</v>
          </cell>
          <cell r="T66">
            <v>11</v>
          </cell>
          <cell r="U66">
            <v>11</v>
          </cell>
          <cell r="V66">
            <v>11</v>
          </cell>
          <cell r="W66">
            <v>11</v>
          </cell>
          <cell r="X66">
            <v>11</v>
          </cell>
          <cell r="Y66"/>
          <cell r="Z66"/>
        </row>
        <row r="67">
          <cell r="A67"/>
          <cell r="N67" t="str">
            <v>GB 5</v>
          </cell>
          <cell r="O67" t="str">
            <v>Banques</v>
          </cell>
          <cell r="P67">
            <v>13</v>
          </cell>
          <cell r="Q67">
            <v>13</v>
          </cell>
          <cell r="R67">
            <v>13</v>
          </cell>
          <cell r="S67">
            <v>13</v>
          </cell>
          <cell r="T67">
            <v>13</v>
          </cell>
          <cell r="U67">
            <v>13</v>
          </cell>
          <cell r="V67">
            <v>13</v>
          </cell>
          <cell r="W67">
            <v>13</v>
          </cell>
          <cell r="X67">
            <v>13</v>
          </cell>
          <cell r="Y67"/>
          <cell r="Z67"/>
        </row>
        <row r="68">
          <cell r="A68"/>
          <cell r="N68"/>
          <cell r="O68" t="str">
            <v>DBA</v>
          </cell>
          <cell r="P68">
            <v>13</v>
          </cell>
          <cell r="Q68">
            <v>13</v>
          </cell>
          <cell r="R68">
            <v>13</v>
          </cell>
          <cell r="S68">
            <v>13</v>
          </cell>
          <cell r="T68">
            <v>13</v>
          </cell>
          <cell r="U68">
            <v>13</v>
          </cell>
          <cell r="V68">
            <v>13</v>
          </cell>
          <cell r="W68">
            <v>13</v>
          </cell>
          <cell r="X68">
            <v>13</v>
          </cell>
          <cell r="Y68"/>
          <cell r="Z68"/>
        </row>
        <row r="69">
          <cell r="A69"/>
          <cell r="N69"/>
          <cell r="O69" t="str">
            <v>TS6</v>
          </cell>
          <cell r="P69">
            <v>17</v>
          </cell>
          <cell r="Q69">
            <v>17</v>
          </cell>
          <cell r="R69">
            <v>17</v>
          </cell>
          <cell r="S69">
            <v>17</v>
          </cell>
          <cell r="T69">
            <v>17</v>
          </cell>
          <cell r="U69">
            <v>17</v>
          </cell>
          <cell r="V69">
            <v>17</v>
          </cell>
          <cell r="W69">
            <v>17</v>
          </cell>
          <cell r="X69">
            <v>17</v>
          </cell>
          <cell r="Y69"/>
          <cell r="Z69"/>
        </row>
        <row r="70">
          <cell r="A70"/>
          <cell r="N70" t="str">
            <v>GB 6</v>
          </cell>
          <cell r="O70" t="str">
            <v>Banques</v>
          </cell>
          <cell r="P70">
            <v>13</v>
          </cell>
          <cell r="Q70">
            <v>13</v>
          </cell>
          <cell r="R70">
            <v>13</v>
          </cell>
          <cell r="S70">
            <v>13</v>
          </cell>
          <cell r="T70">
            <v>13</v>
          </cell>
          <cell r="U70">
            <v>13</v>
          </cell>
          <cell r="V70">
            <v>13</v>
          </cell>
          <cell r="W70">
            <v>13</v>
          </cell>
          <cell r="X70">
            <v>13</v>
          </cell>
          <cell r="Y70"/>
          <cell r="Z70"/>
        </row>
        <row r="71">
          <cell r="A71"/>
          <cell r="N71"/>
          <cell r="O71" t="str">
            <v>DBA</v>
          </cell>
          <cell r="P71">
            <v>6</v>
          </cell>
          <cell r="Q71">
            <v>6</v>
          </cell>
          <cell r="R71">
            <v>6</v>
          </cell>
          <cell r="S71">
            <v>6</v>
          </cell>
          <cell r="T71">
            <v>6</v>
          </cell>
          <cell r="U71">
            <v>6</v>
          </cell>
          <cell r="V71">
            <v>13</v>
          </cell>
          <cell r="W71">
            <v>13</v>
          </cell>
          <cell r="X71">
            <v>13</v>
          </cell>
          <cell r="Y71"/>
          <cell r="Z71"/>
        </row>
        <row r="72">
          <cell r="A72"/>
          <cell r="N72"/>
          <cell r="O72" t="str">
            <v>TS6</v>
          </cell>
          <cell r="P72">
            <v>3</v>
          </cell>
          <cell r="Q72">
            <v>3</v>
          </cell>
          <cell r="R72">
            <v>3</v>
          </cell>
          <cell r="S72">
            <v>3</v>
          </cell>
          <cell r="T72">
            <v>3</v>
          </cell>
          <cell r="U72">
            <v>3</v>
          </cell>
          <cell r="V72">
            <v>3</v>
          </cell>
          <cell r="W72">
            <v>3</v>
          </cell>
          <cell r="X72">
            <v>3</v>
          </cell>
          <cell r="Y72"/>
          <cell r="Z72"/>
        </row>
        <row r="73">
          <cell r="A73"/>
          <cell r="N73" t="str">
            <v>GB 7</v>
          </cell>
          <cell r="O73" t="str">
            <v>Banques</v>
          </cell>
          <cell r="P73">
            <v>13</v>
          </cell>
          <cell r="Q73">
            <v>13</v>
          </cell>
          <cell r="R73">
            <v>13</v>
          </cell>
          <cell r="S73">
            <v>13</v>
          </cell>
          <cell r="T73">
            <v>13</v>
          </cell>
          <cell r="U73">
            <v>13</v>
          </cell>
          <cell r="V73">
            <v>13</v>
          </cell>
          <cell r="W73">
            <v>13</v>
          </cell>
          <cell r="X73">
            <v>13</v>
          </cell>
          <cell r="Y73"/>
          <cell r="Z73"/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/>
          <cell r="Z74"/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/>
          <cell r="Z75"/>
        </row>
        <row r="76">
          <cell r="A76"/>
          <cell r="N76" t="str">
            <v>GB 8</v>
          </cell>
          <cell r="O76" t="str">
            <v>Banques</v>
          </cell>
          <cell r="P76">
            <v>13</v>
          </cell>
          <cell r="Q76">
            <v>13</v>
          </cell>
          <cell r="R76">
            <v>13</v>
          </cell>
          <cell r="S76">
            <v>13</v>
          </cell>
          <cell r="T76">
            <v>13</v>
          </cell>
          <cell r="U76">
            <v>13</v>
          </cell>
          <cell r="V76">
            <v>13</v>
          </cell>
          <cell r="W76">
            <v>13</v>
          </cell>
          <cell r="X76">
            <v>13</v>
          </cell>
          <cell r="Y76"/>
          <cell r="Z76"/>
        </row>
        <row r="77">
          <cell r="A77"/>
          <cell r="N77"/>
          <cell r="O77" t="str">
            <v>DBA</v>
          </cell>
          <cell r="P77">
            <v>11</v>
          </cell>
          <cell r="Q77">
            <v>11</v>
          </cell>
          <cell r="R77">
            <v>11</v>
          </cell>
          <cell r="S77">
            <v>11</v>
          </cell>
          <cell r="T77">
            <v>11</v>
          </cell>
          <cell r="U77">
            <v>11</v>
          </cell>
          <cell r="V77">
            <v>13</v>
          </cell>
          <cell r="W77">
            <v>13</v>
          </cell>
          <cell r="X77">
            <v>13</v>
          </cell>
          <cell r="Y77"/>
          <cell r="Z77"/>
        </row>
        <row r="78">
          <cell r="A78"/>
          <cell r="N78"/>
          <cell r="O78" t="str">
            <v>TS6</v>
          </cell>
          <cell r="P78">
            <v>10</v>
          </cell>
          <cell r="Q78">
            <v>10</v>
          </cell>
          <cell r="R78">
            <v>10</v>
          </cell>
          <cell r="S78">
            <v>10</v>
          </cell>
          <cell r="T78">
            <v>10</v>
          </cell>
          <cell r="U78">
            <v>10</v>
          </cell>
          <cell r="V78">
            <v>10</v>
          </cell>
          <cell r="W78">
            <v>10</v>
          </cell>
          <cell r="X78">
            <v>10</v>
          </cell>
          <cell r="Y78"/>
          <cell r="Z78"/>
        </row>
        <row r="79">
          <cell r="A79"/>
          <cell r="N79" t="str">
            <v>GB 9</v>
          </cell>
          <cell r="O79" t="str">
            <v>Banques</v>
          </cell>
          <cell r="P79">
            <v>13</v>
          </cell>
          <cell r="Q79">
            <v>13</v>
          </cell>
          <cell r="R79">
            <v>13</v>
          </cell>
          <cell r="S79">
            <v>13</v>
          </cell>
          <cell r="T79">
            <v>13</v>
          </cell>
          <cell r="U79">
            <v>13</v>
          </cell>
          <cell r="V79">
            <v>13</v>
          </cell>
          <cell r="W79">
            <v>13</v>
          </cell>
          <cell r="X79">
            <v>13</v>
          </cell>
          <cell r="Y79"/>
          <cell r="Z79"/>
        </row>
        <row r="80">
          <cell r="A80"/>
          <cell r="N80"/>
          <cell r="O80" t="str">
            <v>DBA</v>
          </cell>
          <cell r="P80">
            <v>11</v>
          </cell>
          <cell r="Q80">
            <v>11</v>
          </cell>
          <cell r="R80">
            <v>11</v>
          </cell>
          <cell r="S80">
            <v>11</v>
          </cell>
          <cell r="T80">
            <v>11</v>
          </cell>
          <cell r="U80">
            <v>11</v>
          </cell>
          <cell r="V80">
            <v>13</v>
          </cell>
          <cell r="W80">
            <v>13</v>
          </cell>
          <cell r="X80">
            <v>13</v>
          </cell>
          <cell r="Y80"/>
          <cell r="Z80"/>
        </row>
        <row r="81">
          <cell r="A81"/>
          <cell r="N81"/>
          <cell r="O81" t="str">
            <v>TS6</v>
          </cell>
          <cell r="P81">
            <v>14</v>
          </cell>
          <cell r="Q81">
            <v>14</v>
          </cell>
          <cell r="R81">
            <v>14</v>
          </cell>
          <cell r="S81">
            <v>14</v>
          </cell>
          <cell r="T81">
            <v>14</v>
          </cell>
          <cell r="U81">
            <v>14</v>
          </cell>
          <cell r="V81">
            <v>14</v>
          </cell>
          <cell r="W81">
            <v>14</v>
          </cell>
          <cell r="X81">
            <v>14</v>
          </cell>
          <cell r="Y81"/>
          <cell r="Z81"/>
        </row>
        <row r="82">
          <cell r="A82"/>
          <cell r="N82" t="str">
            <v>GB 10</v>
          </cell>
          <cell r="O82" t="str">
            <v>Banques</v>
          </cell>
          <cell r="P82">
            <v>13</v>
          </cell>
          <cell r="Q82">
            <v>13</v>
          </cell>
          <cell r="R82">
            <v>13</v>
          </cell>
          <cell r="S82">
            <v>13</v>
          </cell>
          <cell r="T82">
            <v>13</v>
          </cell>
          <cell r="U82">
            <v>13</v>
          </cell>
          <cell r="V82">
            <v>13</v>
          </cell>
          <cell r="W82">
            <v>13</v>
          </cell>
          <cell r="X82">
            <v>13</v>
          </cell>
          <cell r="Y82"/>
          <cell r="Z82"/>
        </row>
        <row r="83">
          <cell r="A83"/>
          <cell r="N83"/>
          <cell r="O83" t="str">
            <v>DBA</v>
          </cell>
          <cell r="P83">
            <v>11</v>
          </cell>
          <cell r="Q83">
            <v>11</v>
          </cell>
          <cell r="R83">
            <v>11</v>
          </cell>
          <cell r="S83">
            <v>11</v>
          </cell>
          <cell r="T83">
            <v>11</v>
          </cell>
          <cell r="U83">
            <v>11</v>
          </cell>
          <cell r="V83">
            <v>13</v>
          </cell>
          <cell r="W83">
            <v>13</v>
          </cell>
          <cell r="X83">
            <v>13</v>
          </cell>
          <cell r="Y83"/>
          <cell r="Z83"/>
        </row>
        <row r="84">
          <cell r="A84"/>
          <cell r="N84"/>
          <cell r="O84" t="str">
            <v>TS6</v>
          </cell>
          <cell r="P84">
            <v>18</v>
          </cell>
          <cell r="Q84">
            <v>18</v>
          </cell>
          <cell r="R84">
            <v>18</v>
          </cell>
          <cell r="S84">
            <v>18</v>
          </cell>
          <cell r="T84">
            <v>18</v>
          </cell>
          <cell r="U84">
            <v>18</v>
          </cell>
          <cell r="V84">
            <v>18</v>
          </cell>
          <cell r="W84">
            <v>18</v>
          </cell>
          <cell r="X84">
            <v>18</v>
          </cell>
          <cell r="Y84"/>
          <cell r="Z84"/>
        </row>
        <row r="85">
          <cell r="A85"/>
          <cell r="N85" t="str">
            <v>GB 11</v>
          </cell>
          <cell r="O85" t="str">
            <v>Banques</v>
          </cell>
          <cell r="P85">
            <v>13</v>
          </cell>
          <cell r="Q85">
            <v>13</v>
          </cell>
          <cell r="R85">
            <v>13</v>
          </cell>
          <cell r="S85">
            <v>13</v>
          </cell>
          <cell r="T85">
            <v>13</v>
          </cell>
          <cell r="U85">
            <v>13</v>
          </cell>
          <cell r="V85">
            <v>13</v>
          </cell>
          <cell r="W85">
            <v>13</v>
          </cell>
          <cell r="X85">
            <v>13</v>
          </cell>
          <cell r="Y85"/>
          <cell r="Z85"/>
        </row>
        <row r="86">
          <cell r="A86"/>
          <cell r="N86"/>
          <cell r="O86" t="str">
            <v>DBA</v>
          </cell>
          <cell r="P86">
            <v>11</v>
          </cell>
          <cell r="Q86">
            <v>11</v>
          </cell>
          <cell r="R86">
            <v>11</v>
          </cell>
          <cell r="S86">
            <v>11</v>
          </cell>
          <cell r="T86">
            <v>11</v>
          </cell>
          <cell r="U86">
            <v>11</v>
          </cell>
          <cell r="V86">
            <v>13</v>
          </cell>
          <cell r="W86">
            <v>13</v>
          </cell>
          <cell r="X86">
            <v>13</v>
          </cell>
          <cell r="Y86"/>
          <cell r="Z86"/>
        </row>
        <row r="87">
          <cell r="A87"/>
          <cell r="N87"/>
          <cell r="O87" t="str">
            <v>TS6</v>
          </cell>
          <cell r="P87">
            <v>12</v>
          </cell>
          <cell r="Q87">
            <v>12</v>
          </cell>
          <cell r="R87">
            <v>12</v>
          </cell>
          <cell r="S87">
            <v>12</v>
          </cell>
          <cell r="T87">
            <v>12</v>
          </cell>
          <cell r="U87">
            <v>12</v>
          </cell>
          <cell r="V87">
            <v>12</v>
          </cell>
          <cell r="W87">
            <v>12</v>
          </cell>
          <cell r="X87">
            <v>12</v>
          </cell>
          <cell r="Y87"/>
          <cell r="Z87"/>
        </row>
        <row r="88">
          <cell r="A88"/>
          <cell r="N88" t="str">
            <v>GB 12</v>
          </cell>
          <cell r="O88" t="str">
            <v>Banques</v>
          </cell>
          <cell r="P88">
            <v>13</v>
          </cell>
          <cell r="Q88">
            <v>13</v>
          </cell>
          <cell r="R88">
            <v>13</v>
          </cell>
          <cell r="S88">
            <v>13</v>
          </cell>
          <cell r="T88">
            <v>13</v>
          </cell>
          <cell r="U88">
            <v>13</v>
          </cell>
          <cell r="V88">
            <v>13</v>
          </cell>
          <cell r="W88">
            <v>13</v>
          </cell>
          <cell r="X88">
            <v>13</v>
          </cell>
          <cell r="Y88"/>
          <cell r="Z88"/>
        </row>
        <row r="89">
          <cell r="A89"/>
          <cell r="N89"/>
          <cell r="O89" t="str">
            <v>DBA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/>
          <cell r="Z89"/>
        </row>
        <row r="90">
          <cell r="A90"/>
          <cell r="N90"/>
          <cell r="O90" t="str">
            <v>TS6</v>
          </cell>
          <cell r="P90">
            <v>8</v>
          </cell>
          <cell r="Q90">
            <v>8</v>
          </cell>
          <cell r="R90">
            <v>8</v>
          </cell>
          <cell r="S90">
            <v>8</v>
          </cell>
          <cell r="T90">
            <v>8</v>
          </cell>
          <cell r="U90">
            <v>8</v>
          </cell>
          <cell r="V90">
            <v>8</v>
          </cell>
          <cell r="W90">
            <v>8</v>
          </cell>
          <cell r="X90">
            <v>8</v>
          </cell>
          <cell r="Y90"/>
          <cell r="Z90"/>
        </row>
        <row r="91">
          <cell r="A91"/>
          <cell r="N91" t="str">
            <v>GB 13</v>
          </cell>
          <cell r="O91" t="str">
            <v>Banques</v>
          </cell>
          <cell r="P91">
            <v>13</v>
          </cell>
          <cell r="Q91">
            <v>13</v>
          </cell>
          <cell r="R91">
            <v>13</v>
          </cell>
          <cell r="S91">
            <v>13</v>
          </cell>
          <cell r="T91">
            <v>13</v>
          </cell>
          <cell r="U91">
            <v>13</v>
          </cell>
          <cell r="V91">
            <v>13</v>
          </cell>
          <cell r="W91">
            <v>13</v>
          </cell>
          <cell r="X91">
            <v>13</v>
          </cell>
          <cell r="Y91"/>
          <cell r="Z91"/>
        </row>
        <row r="92">
          <cell r="A92"/>
          <cell r="N92"/>
          <cell r="O92" t="str">
            <v>DBA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/>
          <cell r="Z92"/>
        </row>
        <row r="93">
          <cell r="A93"/>
          <cell r="N93"/>
          <cell r="O93" t="str">
            <v>TS6</v>
          </cell>
          <cell r="P93">
            <v>10</v>
          </cell>
          <cell r="Q93">
            <v>10</v>
          </cell>
          <cell r="R93">
            <v>10</v>
          </cell>
          <cell r="S93">
            <v>10</v>
          </cell>
          <cell r="T93">
            <v>10</v>
          </cell>
          <cell r="U93">
            <v>10</v>
          </cell>
          <cell r="V93">
            <v>10</v>
          </cell>
          <cell r="W93">
            <v>10</v>
          </cell>
          <cell r="X93">
            <v>10</v>
          </cell>
          <cell r="Y93"/>
          <cell r="Z93"/>
        </row>
        <row r="94">
          <cell r="A94"/>
          <cell r="N94" t="str">
            <v>GB 14</v>
          </cell>
          <cell r="O94" t="str">
            <v>Banques</v>
          </cell>
          <cell r="P94">
            <v>8</v>
          </cell>
          <cell r="Q94">
            <v>8</v>
          </cell>
          <cell r="R94">
            <v>8</v>
          </cell>
          <cell r="S94">
            <v>8</v>
          </cell>
          <cell r="T94">
            <v>8</v>
          </cell>
          <cell r="U94">
            <v>8</v>
          </cell>
          <cell r="V94">
            <v>8</v>
          </cell>
          <cell r="W94">
            <v>8</v>
          </cell>
          <cell r="X94">
            <v>8</v>
          </cell>
          <cell r="Y94"/>
          <cell r="Z94"/>
        </row>
        <row r="95">
          <cell r="A95"/>
          <cell r="N95"/>
          <cell r="O95" t="str">
            <v>DBA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/>
          <cell r="Z95"/>
        </row>
        <row r="96">
          <cell r="A96"/>
          <cell r="N96"/>
          <cell r="O96" t="str">
            <v>TS6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/>
          <cell r="Z96"/>
        </row>
        <row r="97">
          <cell r="A97"/>
          <cell r="N97" t="str">
            <v>GB 20</v>
          </cell>
          <cell r="O97" t="str">
            <v>Banques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/>
          <cell r="Z97"/>
        </row>
        <row r="98">
          <cell r="A98"/>
          <cell r="N98"/>
          <cell r="O98" t="str">
            <v>DBA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/>
          <cell r="Z98"/>
        </row>
        <row r="99">
          <cell r="A99"/>
          <cell r="N99"/>
          <cell r="O99" t="str">
            <v>TS6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/>
          <cell r="Z99"/>
        </row>
        <row r="100">
          <cell r="A100"/>
          <cell r="N100" t="str">
            <v>GLOBAL</v>
          </cell>
          <cell r="O100" t="str">
            <v>NB Banques</v>
          </cell>
          <cell r="P100">
            <v>164</v>
          </cell>
          <cell r="Q100">
            <v>164</v>
          </cell>
          <cell r="R100">
            <v>164</v>
          </cell>
          <cell r="S100">
            <v>164</v>
          </cell>
          <cell r="T100">
            <v>164</v>
          </cell>
          <cell r="U100">
            <v>164</v>
          </cell>
          <cell r="V100">
            <v>164</v>
          </cell>
          <cell r="W100">
            <v>164</v>
          </cell>
          <cell r="X100">
            <v>164</v>
          </cell>
          <cell r="Y100"/>
          <cell r="Z100"/>
        </row>
        <row r="101">
          <cell r="A101"/>
          <cell r="N101"/>
          <cell r="O101" t="str">
            <v>NB DBA</v>
          </cell>
          <cell r="P101">
            <v>81</v>
          </cell>
          <cell r="Q101">
            <v>81</v>
          </cell>
          <cell r="R101">
            <v>81</v>
          </cell>
          <cell r="S101">
            <v>81</v>
          </cell>
          <cell r="T101">
            <v>81</v>
          </cell>
          <cell r="U101">
            <v>81</v>
          </cell>
          <cell r="V101">
            <v>102</v>
          </cell>
          <cell r="W101">
            <v>102</v>
          </cell>
          <cell r="X101">
            <v>102</v>
          </cell>
          <cell r="Y101"/>
          <cell r="Z101"/>
        </row>
        <row r="102">
          <cell r="A102"/>
          <cell r="N102"/>
          <cell r="O102" t="str">
            <v>NB TS6</v>
          </cell>
          <cell r="P102">
            <v>117</v>
          </cell>
          <cell r="Q102">
            <v>117</v>
          </cell>
          <cell r="R102">
            <v>117</v>
          </cell>
          <cell r="S102">
            <v>117</v>
          </cell>
          <cell r="T102">
            <v>117</v>
          </cell>
          <cell r="U102">
            <v>117</v>
          </cell>
          <cell r="V102">
            <v>117</v>
          </cell>
          <cell r="W102">
            <v>117</v>
          </cell>
          <cell r="X102">
            <v>117</v>
          </cell>
          <cell r="Y102"/>
          <cell r="Z102"/>
        </row>
        <row r="103">
          <cell r="A103"/>
        </row>
        <row r="104">
          <cell r="A104"/>
          <cell r="N104" t="str">
            <v>Débit</v>
          </cell>
          <cell r="P104">
            <v>24</v>
          </cell>
          <cell r="Q104">
            <v>24</v>
          </cell>
          <cell r="R104">
            <v>24</v>
          </cell>
          <cell r="S104">
            <v>24</v>
          </cell>
          <cell r="T104">
            <v>24</v>
          </cell>
          <cell r="U104">
            <v>24</v>
          </cell>
          <cell r="V104">
            <v>24</v>
          </cell>
          <cell r="W104">
            <v>24</v>
          </cell>
          <cell r="X104">
            <v>24</v>
          </cell>
        </row>
        <row r="105">
          <cell r="A105"/>
          <cell r="N105"/>
          <cell r="O105"/>
        </row>
        <row r="106">
          <cell r="A106"/>
          <cell r="N106" t="str">
            <v>Facteur déproductivité</v>
          </cell>
          <cell r="O106"/>
          <cell r="P106">
            <v>0.95</v>
          </cell>
          <cell r="Q106">
            <v>0.95</v>
          </cell>
          <cell r="R106">
            <v>0.95</v>
          </cell>
          <cell r="S106">
            <v>0.95</v>
          </cell>
          <cell r="T106">
            <v>0.95</v>
          </cell>
          <cell r="U106">
            <v>0.95</v>
          </cell>
          <cell r="V106">
            <v>0.95</v>
          </cell>
          <cell r="W106">
            <v>0.95</v>
          </cell>
          <cell r="X106">
            <v>0.95</v>
          </cell>
          <cell r="Y106"/>
          <cell r="Z106"/>
        </row>
        <row r="107">
          <cell r="A107"/>
          <cell r="N107"/>
          <cell r="O107"/>
        </row>
        <row r="108">
          <cell r="A108"/>
          <cell r="N108" t="str">
            <v>Débit Enregistrement</v>
          </cell>
          <cell r="O108"/>
          <cell r="P108">
            <v>3739.2</v>
          </cell>
          <cell r="Q108">
            <v>3739.2</v>
          </cell>
          <cell r="R108">
            <v>3739.2</v>
          </cell>
          <cell r="S108">
            <v>3739.2</v>
          </cell>
          <cell r="T108">
            <v>3739.2</v>
          </cell>
          <cell r="U108">
            <v>3739.2</v>
          </cell>
          <cell r="V108">
            <v>3739.2</v>
          </cell>
          <cell r="W108">
            <v>3739.2</v>
          </cell>
          <cell r="X108">
            <v>3739.2</v>
          </cell>
          <cell r="Y108"/>
          <cell r="Z108"/>
        </row>
        <row r="109">
          <cell r="A109"/>
          <cell r="N109"/>
          <cell r="O109"/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 t="str">
            <v>T2E - Surface</v>
          </cell>
          <cell r="O112"/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Y112" t="str">
            <v>S27</v>
          </cell>
          <cell r="Z112" t="str">
            <v>W27</v>
          </cell>
        </row>
        <row r="113">
          <cell r="A113"/>
          <cell r="N113" t="str">
            <v>GB 2/3</v>
          </cell>
          <cell r="O113"/>
        </row>
        <row r="114">
          <cell r="A114"/>
          <cell r="N114" t="str">
            <v>GB 4/5</v>
          </cell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</row>
        <row r="115">
          <cell r="A115"/>
          <cell r="N115" t="str">
            <v>GB 6/7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</row>
        <row r="116">
          <cell r="A116"/>
          <cell r="N116" t="str">
            <v>GB 8/9</v>
          </cell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</row>
        <row r="117">
          <cell r="A117"/>
          <cell r="N117" t="str">
            <v>GB 10/11</v>
          </cell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</row>
        <row r="118">
          <cell r="A118"/>
          <cell r="N118" t="str">
            <v>GB 12/13</v>
          </cell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</row>
        <row r="119">
          <cell r="A119"/>
          <cell r="N119" t="str">
            <v>GB 14</v>
          </cell>
          <cell r="O119"/>
        </row>
        <row r="120">
          <cell r="A120"/>
          <cell r="N120" t="str">
            <v>SURFACE GLOBAL</v>
          </cell>
          <cell r="O120"/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  <cell r="Y122">
            <v>15</v>
          </cell>
          <cell r="Z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  <cell r="Y123">
            <v>1.4</v>
          </cell>
          <cell r="Z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/>
          <cell r="O126"/>
        </row>
        <row r="127">
          <cell r="A127"/>
          <cell r="O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3">
          <cell r="A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 t="str">
            <v>Tri Bagage</v>
          </cell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4">
          <cell r="A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 t="str">
            <v>Frontières DEP</v>
          </cell>
          <cell r="H145" t="str">
            <v>Sans EES</v>
          </cell>
          <cell r="I145"/>
          <cell r="J145"/>
          <cell r="K145"/>
          <cell r="L145"/>
        </row>
        <row r="146">
          <cell r="A146"/>
          <cell r="H146" t="str">
            <v>QP Passeports</v>
          </cell>
          <cell r="I146"/>
          <cell r="J146" t="str">
            <v>T2EK DEP</v>
          </cell>
          <cell r="K146" t="str">
            <v>Aubette</v>
          </cell>
          <cell r="L146" t="str">
            <v>Parafe</v>
          </cell>
          <cell r="M146"/>
          <cell r="N146"/>
          <cell r="O146" t="str">
            <v>T2E - PAF T2EK DEP</v>
          </cell>
          <cell r="P146" t="str">
            <v>W22</v>
          </cell>
          <cell r="Q146" t="str">
            <v>S23</v>
          </cell>
          <cell r="R146" t="str">
            <v>W23</v>
          </cell>
          <cell r="S146" t="str">
            <v>S24</v>
          </cell>
          <cell r="T146" t="str">
            <v>W24</v>
          </cell>
          <cell r="U146" t="str">
            <v>S25</v>
          </cell>
          <cell r="V146" t="str">
            <v>W25</v>
          </cell>
          <cell r="W146" t="str">
            <v>S26</v>
          </cell>
          <cell r="X146" t="str">
            <v>W26</v>
          </cell>
          <cell r="Y146" t="str">
            <v>S27</v>
          </cell>
          <cell r="Z146" t="str">
            <v>W27</v>
          </cell>
        </row>
        <row r="147">
          <cell r="A147"/>
          <cell r="H147" t="str">
            <v>UE</v>
          </cell>
          <cell r="I147">
            <v>0.55000000000000004</v>
          </cell>
          <cell r="J147" t="str">
            <v>Part modale</v>
          </cell>
          <cell r="K147"/>
          <cell r="L147"/>
          <cell r="N147"/>
        </row>
        <row r="148">
          <cell r="A148"/>
          <cell r="H148" t="str">
            <v>RPT61</v>
          </cell>
          <cell r="I148">
            <v>0.37</v>
          </cell>
          <cell r="J148" t="str">
            <v>UE</v>
          </cell>
          <cell r="K148">
            <v>0.4</v>
          </cell>
          <cell r="L148">
            <v>0.6</v>
          </cell>
          <cell r="M148"/>
          <cell r="N148"/>
          <cell r="O148" t="str">
            <v>NB position aubette</v>
          </cell>
          <cell r="P148">
            <v>22</v>
          </cell>
          <cell r="Q148">
            <v>21</v>
          </cell>
          <cell r="R148">
            <v>21</v>
          </cell>
          <cell r="S148">
            <v>21</v>
          </cell>
          <cell r="T148">
            <v>21</v>
          </cell>
          <cell r="U148">
            <v>21</v>
          </cell>
          <cell r="V148">
            <v>21</v>
          </cell>
          <cell r="W148">
            <v>21</v>
          </cell>
          <cell r="X148">
            <v>21</v>
          </cell>
          <cell r="Y148"/>
          <cell r="Z148"/>
        </row>
        <row r="149">
          <cell r="A149"/>
          <cell r="H149" t="str">
            <v>Autres TP</v>
          </cell>
          <cell r="I149">
            <v>7.999999999999996E-2</v>
          </cell>
          <cell r="J149" t="str">
            <v>RPT61</v>
          </cell>
          <cell r="K149">
            <v>0.4</v>
          </cell>
          <cell r="L149">
            <v>0.6</v>
          </cell>
          <cell r="M149"/>
          <cell r="N149"/>
          <cell r="O149" t="str">
            <v>Débit unitaire</v>
          </cell>
          <cell r="P149">
            <v>101</v>
          </cell>
          <cell r="Q149">
            <v>106</v>
          </cell>
          <cell r="R149">
            <v>106</v>
          </cell>
          <cell r="S149">
            <v>106</v>
          </cell>
          <cell r="T149">
            <v>106</v>
          </cell>
          <cell r="U149">
            <v>106</v>
          </cell>
          <cell r="V149">
            <v>106</v>
          </cell>
          <cell r="W149">
            <v>103</v>
          </cell>
          <cell r="X149">
            <v>103</v>
          </cell>
          <cell r="Y149"/>
          <cell r="Z149"/>
        </row>
        <row r="150">
          <cell r="A150"/>
          <cell r="I150"/>
          <cell r="J150" t="str">
            <v>Autres TP</v>
          </cell>
          <cell r="K150">
            <v>1</v>
          </cell>
          <cell r="L150"/>
          <cell r="M150"/>
          <cell r="N150"/>
          <cell r="O150" t="str">
            <v>Débit Aubette</v>
          </cell>
          <cell r="P150">
            <v>2222</v>
          </cell>
          <cell r="Q150">
            <v>2226</v>
          </cell>
          <cell r="R150">
            <v>2226</v>
          </cell>
          <cell r="S150">
            <v>2226</v>
          </cell>
          <cell r="T150">
            <v>2226</v>
          </cell>
          <cell r="U150">
            <v>2226</v>
          </cell>
          <cell r="V150">
            <v>2226</v>
          </cell>
          <cell r="W150">
            <v>2163</v>
          </cell>
          <cell r="X150">
            <v>2163</v>
          </cell>
          <cell r="Y150"/>
          <cell r="Z150"/>
        </row>
        <row r="151">
          <cell r="A151"/>
          <cell r="J151" t="str">
            <v>TTU</v>
          </cell>
          <cell r="K151"/>
          <cell r="L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</row>
        <row r="152">
          <cell r="A152"/>
          <cell r="J152" t="str">
            <v>UE</v>
          </cell>
          <cell r="K152">
            <v>28</v>
          </cell>
          <cell r="L152">
            <v>31</v>
          </cell>
          <cell r="M152"/>
          <cell r="O152" t="str">
            <v>NB Parafes</v>
          </cell>
          <cell r="P152">
            <v>13</v>
          </cell>
          <cell r="Q152">
            <v>15</v>
          </cell>
          <cell r="R152">
            <v>18</v>
          </cell>
          <cell r="S152">
            <v>18</v>
          </cell>
          <cell r="T152">
            <v>18</v>
          </cell>
          <cell r="U152">
            <v>18</v>
          </cell>
          <cell r="V152">
            <v>18</v>
          </cell>
          <cell r="W152">
            <v>18</v>
          </cell>
          <cell r="X152">
            <v>18</v>
          </cell>
          <cell r="Y152"/>
          <cell r="Z152"/>
        </row>
        <row r="153">
          <cell r="A153"/>
          <cell r="J153" t="str">
            <v>RPT61</v>
          </cell>
          <cell r="K153">
            <v>39.5</v>
          </cell>
          <cell r="L153">
            <v>31</v>
          </cell>
          <cell r="O153" t="str">
            <v>Débit unitaire</v>
          </cell>
          <cell r="P153">
            <v>116.12903225806451</v>
          </cell>
          <cell r="Q153">
            <v>116</v>
          </cell>
          <cell r="R153">
            <v>116</v>
          </cell>
          <cell r="S153">
            <v>116</v>
          </cell>
          <cell r="T153">
            <v>116</v>
          </cell>
          <cell r="U153">
            <v>116</v>
          </cell>
          <cell r="V153">
            <v>116</v>
          </cell>
          <cell r="W153">
            <v>116</v>
          </cell>
          <cell r="X153">
            <v>116</v>
          </cell>
          <cell r="Y153"/>
          <cell r="Z153"/>
        </row>
        <row r="154">
          <cell r="A154"/>
          <cell r="J154" t="str">
            <v>Autres TP</v>
          </cell>
          <cell r="K154">
            <v>39.5</v>
          </cell>
          <cell r="L154"/>
          <cell r="M154"/>
          <cell r="O154" t="str">
            <v>Débit Parafe</v>
          </cell>
          <cell r="P154">
            <v>1509.6774193548385</v>
          </cell>
          <cell r="Q154">
            <v>1740</v>
          </cell>
          <cell r="R154">
            <v>2088</v>
          </cell>
          <cell r="S154">
            <v>2088</v>
          </cell>
          <cell r="T154">
            <v>2088</v>
          </cell>
          <cell r="U154">
            <v>2088</v>
          </cell>
          <cell r="V154">
            <v>2088</v>
          </cell>
          <cell r="W154">
            <v>2088</v>
          </cell>
          <cell r="X154">
            <v>2088</v>
          </cell>
          <cell r="Y154"/>
          <cell r="Z154"/>
        </row>
        <row r="155">
          <cell r="A155"/>
          <cell r="J155" t="str">
            <v>Résultante unitaire</v>
          </cell>
          <cell r="K155"/>
          <cell r="L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/>
          <cell r="J156" t="str">
            <v>PM</v>
          </cell>
          <cell r="K156">
            <v>0.44799999999999995</v>
          </cell>
          <cell r="L156">
            <v>0.55200000000000005</v>
          </cell>
          <cell r="M156"/>
          <cell r="O156" t="str">
            <v>Débit PAF DEP T2EK</v>
          </cell>
          <cell r="P156">
            <v>3731.6774193548385</v>
          </cell>
          <cell r="Q156">
            <v>3966</v>
          </cell>
          <cell r="R156">
            <v>4314</v>
          </cell>
          <cell r="S156">
            <v>4314</v>
          </cell>
          <cell r="T156">
            <v>4314</v>
          </cell>
          <cell r="U156">
            <v>4314</v>
          </cell>
          <cell r="V156">
            <v>4314</v>
          </cell>
          <cell r="W156">
            <v>4251</v>
          </cell>
          <cell r="X156">
            <v>4251</v>
          </cell>
          <cell r="Y156"/>
          <cell r="Z156"/>
        </row>
        <row r="157">
          <cell r="A157"/>
          <cell r="J157" t="str">
            <v>TTU</v>
          </cell>
          <cell r="K157">
            <v>33.852678571428569</v>
          </cell>
          <cell r="L157">
            <v>31</v>
          </cell>
          <cell r="M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 xml:space="preserve">Débit unitaire </v>
          </cell>
          <cell r="K158">
            <v>106.34313596202031</v>
          </cell>
          <cell r="L158">
            <v>116.12903225806451</v>
          </cell>
          <cell r="M158"/>
          <cell r="P158"/>
          <cell r="Q158"/>
          <cell r="R158"/>
          <cell r="S158"/>
          <cell r="T158"/>
          <cell r="U158"/>
          <cell r="V158"/>
        </row>
        <row r="159">
          <cell r="A159"/>
          <cell r="J159"/>
          <cell r="K159"/>
          <cell r="L159"/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/>
          <cell r="K160"/>
          <cell r="L160"/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H161" t="str">
            <v>Avec EES</v>
          </cell>
          <cell r="I161"/>
          <cell r="J161"/>
          <cell r="K161"/>
          <cell r="L161"/>
          <cell r="P161"/>
          <cell r="Q161"/>
          <cell r="R161"/>
          <cell r="S161"/>
          <cell r="T161"/>
          <cell r="U161"/>
          <cell r="V161"/>
        </row>
        <row r="162">
          <cell r="A162"/>
          <cell r="H162" t="str">
            <v>QP Passeports</v>
          </cell>
          <cell r="I162"/>
          <cell r="J162" t="str">
            <v>T2EK DEP</v>
          </cell>
          <cell r="K162" t="str">
            <v>Aubette</v>
          </cell>
          <cell r="L162" t="str">
            <v>Parafe</v>
          </cell>
          <cell r="M162"/>
          <cell r="P162"/>
          <cell r="Q162"/>
          <cell r="R162"/>
          <cell r="S162"/>
          <cell r="T162"/>
          <cell r="U162"/>
          <cell r="V162"/>
        </row>
        <row r="163">
          <cell r="A163"/>
          <cell r="H163" t="str">
            <v>UE</v>
          </cell>
          <cell r="I163">
            <v>0.48</v>
          </cell>
          <cell r="J163" t="str">
            <v>Part modale</v>
          </cell>
          <cell r="K163"/>
          <cell r="L163"/>
          <cell r="P163"/>
          <cell r="Q163"/>
          <cell r="R163"/>
          <cell r="S163"/>
          <cell r="T163"/>
          <cell r="U163"/>
          <cell r="V163"/>
        </row>
        <row r="164">
          <cell r="A164"/>
          <cell r="H164" t="str">
            <v>RPT61</v>
          </cell>
          <cell r="I164">
            <v>0.38</v>
          </cell>
          <cell r="J164" t="str">
            <v>UE</v>
          </cell>
          <cell r="K164">
            <v>0.38</v>
          </cell>
          <cell r="L164">
            <v>0.62</v>
          </cell>
          <cell r="M164"/>
          <cell r="P164"/>
          <cell r="Q164"/>
          <cell r="R164"/>
          <cell r="S164"/>
          <cell r="T164"/>
          <cell r="U164"/>
          <cell r="V164"/>
        </row>
        <row r="165">
          <cell r="A165"/>
          <cell r="H165" t="str">
            <v>Autres TP</v>
          </cell>
          <cell r="I165">
            <v>0.14000000000000001</v>
          </cell>
          <cell r="J165" t="str">
            <v>RPT61</v>
          </cell>
          <cell r="K165">
            <v>0.46</v>
          </cell>
          <cell r="L165">
            <v>0.54</v>
          </cell>
          <cell r="M165"/>
          <cell r="P165"/>
          <cell r="Q165"/>
          <cell r="R165"/>
          <cell r="S165"/>
          <cell r="T165"/>
          <cell r="U165"/>
          <cell r="V165"/>
        </row>
        <row r="166">
          <cell r="A166"/>
          <cell r="I166"/>
          <cell r="J166" t="str">
            <v>Autres TP</v>
          </cell>
          <cell r="K166">
            <v>1</v>
          </cell>
          <cell r="L166"/>
          <cell r="M166"/>
          <cell r="P166"/>
          <cell r="Q166"/>
          <cell r="R166"/>
          <cell r="S166"/>
          <cell r="T166"/>
          <cell r="U166"/>
          <cell r="V166"/>
        </row>
        <row r="167">
          <cell r="A167"/>
          <cell r="J167" t="str">
            <v>TTU</v>
          </cell>
          <cell r="K167"/>
          <cell r="L167"/>
          <cell r="P167"/>
          <cell r="Q167"/>
          <cell r="R167"/>
          <cell r="S167"/>
          <cell r="T167"/>
          <cell r="U167"/>
          <cell r="V167"/>
        </row>
        <row r="168">
          <cell r="A168"/>
          <cell r="J168" t="str">
            <v>UE</v>
          </cell>
          <cell r="K168">
            <v>28</v>
          </cell>
          <cell r="L168">
            <v>31</v>
          </cell>
          <cell r="M168"/>
          <cell r="P168"/>
          <cell r="Q168"/>
          <cell r="R168"/>
          <cell r="S168"/>
          <cell r="T168"/>
          <cell r="U168"/>
          <cell r="V168"/>
        </row>
        <row r="169">
          <cell r="A169"/>
          <cell r="J169" t="str">
            <v>RPT61</v>
          </cell>
          <cell r="K169">
            <v>39</v>
          </cell>
          <cell r="L169">
            <v>31</v>
          </cell>
          <cell r="P169"/>
          <cell r="Q169"/>
          <cell r="R169"/>
          <cell r="S169"/>
          <cell r="T169"/>
          <cell r="U169"/>
          <cell r="V169"/>
        </row>
        <row r="170">
          <cell r="A170"/>
          <cell r="J170" t="str">
            <v>Autres TP</v>
          </cell>
          <cell r="K170">
            <v>39</v>
          </cell>
          <cell r="L170"/>
          <cell r="M170"/>
          <cell r="P170"/>
          <cell r="Q170"/>
          <cell r="R170"/>
          <cell r="S170"/>
          <cell r="T170"/>
          <cell r="U170"/>
          <cell r="V170"/>
        </row>
        <row r="171">
          <cell r="A171"/>
          <cell r="J171" t="str">
            <v>Résultante unitaire</v>
          </cell>
          <cell r="K171"/>
          <cell r="L171"/>
          <cell r="P171"/>
          <cell r="Q171"/>
          <cell r="R171"/>
          <cell r="S171"/>
          <cell r="T171"/>
          <cell r="U171"/>
          <cell r="V171"/>
        </row>
        <row r="172">
          <cell r="A172"/>
          <cell r="J172" t="str">
            <v>PM</v>
          </cell>
          <cell r="K172">
            <v>0.49720000000000003</v>
          </cell>
          <cell r="L172">
            <v>0.50280000000000002</v>
          </cell>
          <cell r="M172"/>
          <cell r="P172"/>
          <cell r="Q172"/>
          <cell r="R172"/>
          <cell r="S172"/>
          <cell r="T172"/>
          <cell r="U172"/>
          <cell r="V172"/>
        </row>
        <row r="173">
          <cell r="A173"/>
          <cell r="J173" t="str">
            <v>TTU</v>
          </cell>
          <cell r="K173">
            <v>34.964601769911511</v>
          </cell>
          <cell r="L173">
            <v>31</v>
          </cell>
          <cell r="M173"/>
          <cell r="P173"/>
          <cell r="Q173"/>
          <cell r="R173"/>
          <cell r="S173"/>
          <cell r="T173"/>
          <cell r="U173"/>
          <cell r="V173"/>
        </row>
        <row r="174">
          <cell r="A174"/>
          <cell r="J174" t="str">
            <v xml:space="preserve">Débit unitaire </v>
          </cell>
          <cell r="K174">
            <v>102.96127562642367</v>
          </cell>
          <cell r="L174">
            <v>116.12903225806451</v>
          </cell>
          <cell r="M174"/>
          <cell r="P174"/>
          <cell r="Q174"/>
          <cell r="R174"/>
          <cell r="S174"/>
          <cell r="T174"/>
          <cell r="U174"/>
          <cell r="V174"/>
        </row>
        <row r="175">
          <cell r="A175"/>
          <cell r="I175"/>
          <cell r="J175"/>
          <cell r="K175"/>
          <cell r="L175"/>
          <cell r="M175"/>
          <cell r="P175"/>
          <cell r="Q175"/>
          <cell r="R175"/>
          <cell r="S175"/>
          <cell r="T175"/>
          <cell r="U175"/>
          <cell r="V175"/>
        </row>
        <row r="176">
          <cell r="A176"/>
          <cell r="I176"/>
          <cell r="J176"/>
          <cell r="K176"/>
          <cell r="L176"/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8">
          <cell r="A178"/>
          <cell r="H178" t="str">
            <v>Sans EES</v>
          </cell>
          <cell r="I178"/>
          <cell r="J178"/>
          <cell r="K178"/>
          <cell r="L178"/>
          <cell r="N178"/>
          <cell r="P178"/>
          <cell r="Q178"/>
          <cell r="R178"/>
          <cell r="S178"/>
          <cell r="T178"/>
          <cell r="U178"/>
          <cell r="V178"/>
        </row>
        <row r="179">
          <cell r="A179"/>
          <cell r="H179" t="str">
            <v>QP Passeports</v>
          </cell>
          <cell r="I179"/>
          <cell r="J179" t="str">
            <v>Gal F -&gt; K</v>
          </cell>
          <cell r="K179" t="str">
            <v>Aubette</v>
          </cell>
          <cell r="L179" t="str">
            <v>Parafe</v>
          </cell>
          <cell r="M179"/>
          <cell r="N179"/>
          <cell r="O179" t="str">
            <v>T2E - PAF Gal F &gt; K</v>
          </cell>
          <cell r="P179" t="str">
            <v>W22</v>
          </cell>
          <cell r="Q179" t="str">
            <v>S23</v>
          </cell>
          <cell r="R179" t="str">
            <v>W23</v>
          </cell>
          <cell r="S179" t="str">
            <v>S24</v>
          </cell>
          <cell r="T179" t="str">
            <v>W24</v>
          </cell>
          <cell r="U179" t="str">
            <v>S25</v>
          </cell>
          <cell r="V179" t="str">
            <v>W25</v>
          </cell>
          <cell r="W179" t="str">
            <v>S26</v>
          </cell>
          <cell r="X179" t="str">
            <v>W26</v>
          </cell>
          <cell r="Y179" t="str">
            <v>S27</v>
          </cell>
          <cell r="Z179" t="str">
            <v>W27</v>
          </cell>
        </row>
        <row r="180">
          <cell r="A180"/>
          <cell r="H180" t="str">
            <v>UE</v>
          </cell>
          <cell r="I180">
            <v>0.64</v>
          </cell>
          <cell r="J180" t="str">
            <v>Part modale</v>
          </cell>
          <cell r="K180"/>
          <cell r="L180"/>
          <cell r="N180"/>
        </row>
        <row r="181">
          <cell r="A181"/>
          <cell r="H181" t="str">
            <v>RPT61</v>
          </cell>
          <cell r="I181">
            <v>0.31</v>
          </cell>
          <cell r="J181" t="str">
            <v>UE</v>
          </cell>
          <cell r="K181">
            <v>0.4</v>
          </cell>
          <cell r="L181">
            <v>0.6</v>
          </cell>
          <cell r="M181"/>
          <cell r="N181"/>
          <cell r="O181" t="str">
            <v>NB position aubette</v>
          </cell>
          <cell r="P181">
            <v>6</v>
          </cell>
          <cell r="Q181">
            <v>6</v>
          </cell>
          <cell r="R181">
            <v>6</v>
          </cell>
          <cell r="S181">
            <v>6</v>
          </cell>
          <cell r="T181">
            <v>6</v>
          </cell>
          <cell r="U181">
            <v>6</v>
          </cell>
          <cell r="V181">
            <v>6</v>
          </cell>
          <cell r="W181">
            <v>6</v>
          </cell>
          <cell r="X181">
            <v>6</v>
          </cell>
          <cell r="Y181"/>
          <cell r="Z181"/>
        </row>
        <row r="182">
          <cell r="A182"/>
          <cell r="H182" t="str">
            <v>Autres TP</v>
          </cell>
          <cell r="I182">
            <v>4.9999999999999989E-2</v>
          </cell>
          <cell r="J182" t="str">
            <v>RPT61</v>
          </cell>
          <cell r="K182">
            <v>0.4</v>
          </cell>
          <cell r="L182">
            <v>0.6</v>
          </cell>
          <cell r="M182"/>
          <cell r="N182"/>
          <cell r="O182" t="str">
            <v>Débit unitaire</v>
          </cell>
          <cell r="P182">
            <v>104</v>
          </cell>
          <cell r="Q182">
            <v>110</v>
          </cell>
          <cell r="R182">
            <v>110</v>
          </cell>
          <cell r="S182">
            <v>110</v>
          </cell>
          <cell r="T182">
            <v>110</v>
          </cell>
          <cell r="U182">
            <v>110</v>
          </cell>
          <cell r="V182">
            <v>110</v>
          </cell>
          <cell r="W182">
            <v>103</v>
          </cell>
          <cell r="X182">
            <v>103</v>
          </cell>
          <cell r="Y182"/>
          <cell r="Z182"/>
        </row>
        <row r="183">
          <cell r="A183"/>
          <cell r="I183"/>
          <cell r="J183" t="str">
            <v>Autres TP</v>
          </cell>
          <cell r="K183">
            <v>1</v>
          </cell>
          <cell r="L183"/>
          <cell r="M183"/>
          <cell r="N183"/>
          <cell r="O183" t="str">
            <v>Débit Aubette</v>
          </cell>
          <cell r="P183">
            <v>624</v>
          </cell>
          <cell r="Q183">
            <v>660</v>
          </cell>
          <cell r="R183">
            <v>660</v>
          </cell>
          <cell r="S183">
            <v>660</v>
          </cell>
          <cell r="T183">
            <v>660</v>
          </cell>
          <cell r="U183">
            <v>660</v>
          </cell>
          <cell r="V183">
            <v>660</v>
          </cell>
          <cell r="W183">
            <v>618</v>
          </cell>
          <cell r="X183">
            <v>618</v>
          </cell>
          <cell r="Y183"/>
          <cell r="Z183"/>
        </row>
        <row r="184">
          <cell r="A184"/>
          <cell r="J184" t="str">
            <v>TTU</v>
          </cell>
          <cell r="K184"/>
          <cell r="L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/>
          <cell r="J185" t="str">
            <v>UE</v>
          </cell>
          <cell r="K185">
            <v>28</v>
          </cell>
          <cell r="L185">
            <v>31</v>
          </cell>
          <cell r="M185"/>
          <cell r="N185"/>
          <cell r="O185" t="str">
            <v>NB Parafes</v>
          </cell>
          <cell r="P185">
            <v>3</v>
          </cell>
          <cell r="Q185">
            <v>5</v>
          </cell>
          <cell r="R185">
            <v>5</v>
          </cell>
          <cell r="S185">
            <v>5</v>
          </cell>
          <cell r="T185">
            <v>5</v>
          </cell>
          <cell r="U185">
            <v>6</v>
          </cell>
          <cell r="V185">
            <v>6</v>
          </cell>
          <cell r="W185">
            <v>6</v>
          </cell>
          <cell r="X185">
            <v>6</v>
          </cell>
          <cell r="Y185"/>
          <cell r="Z185"/>
        </row>
        <row r="186">
          <cell r="A186"/>
          <cell r="J186" t="str">
            <v>RPT61</v>
          </cell>
          <cell r="K186">
            <v>39.5</v>
          </cell>
          <cell r="L186">
            <v>31</v>
          </cell>
          <cell r="N186"/>
          <cell r="O186" t="str">
            <v>Débit unitaire</v>
          </cell>
          <cell r="P186">
            <v>116</v>
          </cell>
          <cell r="Q186">
            <v>116</v>
          </cell>
          <cell r="R186">
            <v>116</v>
          </cell>
          <cell r="S186">
            <v>116</v>
          </cell>
          <cell r="T186">
            <v>116</v>
          </cell>
          <cell r="U186">
            <v>116</v>
          </cell>
          <cell r="V186">
            <v>116</v>
          </cell>
          <cell r="W186">
            <v>116</v>
          </cell>
          <cell r="X186">
            <v>116</v>
          </cell>
          <cell r="Y186"/>
          <cell r="Z186"/>
        </row>
        <row r="187">
          <cell r="A187"/>
          <cell r="J187" t="str">
            <v>Autres TP</v>
          </cell>
          <cell r="K187">
            <v>39.5</v>
          </cell>
          <cell r="L187"/>
          <cell r="M187"/>
          <cell r="N187"/>
          <cell r="O187" t="str">
            <v>Débit Parafe</v>
          </cell>
          <cell r="P187">
            <v>348</v>
          </cell>
          <cell r="Q187">
            <v>580</v>
          </cell>
          <cell r="R187">
            <v>580</v>
          </cell>
          <cell r="S187">
            <v>580</v>
          </cell>
          <cell r="T187">
            <v>580</v>
          </cell>
          <cell r="U187">
            <v>696</v>
          </cell>
          <cell r="V187">
            <v>696</v>
          </cell>
          <cell r="W187">
            <v>696</v>
          </cell>
          <cell r="X187">
            <v>696</v>
          </cell>
          <cell r="Y187"/>
          <cell r="Z187"/>
        </row>
        <row r="188">
          <cell r="A188"/>
          <cell r="J188" t="str">
            <v>Résultante unitaire</v>
          </cell>
          <cell r="K188"/>
          <cell r="L188"/>
          <cell r="N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</row>
        <row r="189">
          <cell r="A189"/>
          <cell r="J189" t="str">
            <v>PM</v>
          </cell>
          <cell r="K189">
            <v>0.43</v>
          </cell>
          <cell r="L189">
            <v>0.57000000000000006</v>
          </cell>
          <cell r="M189"/>
          <cell r="N189"/>
          <cell r="O189" t="str">
            <v>Débit PAF DEP Gal F &gt; K</v>
          </cell>
          <cell r="P189">
            <v>972</v>
          </cell>
          <cell r="Q189">
            <v>1240</v>
          </cell>
          <cell r="R189">
            <v>1240</v>
          </cell>
          <cell r="S189">
            <v>1240</v>
          </cell>
          <cell r="T189">
            <v>1240</v>
          </cell>
          <cell r="U189">
            <v>1356</v>
          </cell>
          <cell r="V189">
            <v>1356</v>
          </cell>
          <cell r="W189">
            <v>1314</v>
          </cell>
          <cell r="X189">
            <v>1314</v>
          </cell>
          <cell r="Y189"/>
          <cell r="Z189"/>
        </row>
        <row r="190">
          <cell r="A190"/>
          <cell r="J190" t="str">
            <v>TTU</v>
          </cell>
          <cell r="K190">
            <v>32.653488372093022</v>
          </cell>
          <cell r="L190">
            <v>31</v>
          </cell>
          <cell r="M190"/>
          <cell r="N190"/>
          <cell r="P190"/>
          <cell r="Q190"/>
          <cell r="R190"/>
          <cell r="S190"/>
          <cell r="T190"/>
          <cell r="U190"/>
          <cell r="V190"/>
        </row>
        <row r="191">
          <cell r="A191"/>
          <cell r="J191" t="str">
            <v xml:space="preserve">Débit unitaire </v>
          </cell>
          <cell r="K191">
            <v>110.24855779502884</v>
          </cell>
          <cell r="L191">
            <v>116.12903225806451</v>
          </cell>
          <cell r="M191"/>
          <cell r="N191"/>
          <cell r="P191"/>
          <cell r="Q191"/>
          <cell r="R191"/>
          <cell r="S191"/>
          <cell r="T191"/>
          <cell r="U191"/>
          <cell r="V191"/>
        </row>
        <row r="192">
          <cell r="A192"/>
          <cell r="J192"/>
          <cell r="K192"/>
          <cell r="L192"/>
          <cell r="M192"/>
          <cell r="N192"/>
        </row>
        <row r="193">
          <cell r="A193"/>
          <cell r="I193"/>
          <cell r="J193"/>
          <cell r="K193"/>
          <cell r="L193"/>
          <cell r="M193"/>
          <cell r="N193"/>
        </row>
        <row r="194">
          <cell r="A194"/>
          <cell r="H194" t="str">
            <v>Avec EES</v>
          </cell>
          <cell r="I194"/>
          <cell r="J194"/>
          <cell r="K194"/>
          <cell r="L194"/>
          <cell r="P194"/>
          <cell r="Q194"/>
          <cell r="R194"/>
          <cell r="S194"/>
          <cell r="T194"/>
          <cell r="U194"/>
          <cell r="V194"/>
        </row>
        <row r="195">
          <cell r="A195"/>
          <cell r="H195" t="str">
            <v>QP Passeports</v>
          </cell>
          <cell r="I195"/>
          <cell r="J195" t="str">
            <v>Gal F -&gt; K</v>
          </cell>
          <cell r="K195" t="str">
            <v>Aubette</v>
          </cell>
          <cell r="L195" t="str">
            <v>Parafe</v>
          </cell>
          <cell r="M195"/>
          <cell r="P195"/>
          <cell r="Q195"/>
          <cell r="R195"/>
          <cell r="S195"/>
          <cell r="T195"/>
          <cell r="U195"/>
          <cell r="V195"/>
        </row>
        <row r="196">
          <cell r="A196"/>
          <cell r="H196" t="str">
            <v>UE</v>
          </cell>
          <cell r="I196">
            <v>0.48</v>
          </cell>
          <cell r="J196" t="str">
            <v>Part modale</v>
          </cell>
          <cell r="K196"/>
          <cell r="L196"/>
          <cell r="P196"/>
          <cell r="Q196"/>
          <cell r="R196"/>
          <cell r="S196"/>
          <cell r="T196"/>
          <cell r="U196"/>
          <cell r="V196"/>
        </row>
        <row r="197">
          <cell r="A197"/>
          <cell r="H197" t="str">
            <v>RPT61</v>
          </cell>
          <cell r="I197">
            <v>0.38</v>
          </cell>
          <cell r="J197" t="str">
            <v>UE</v>
          </cell>
          <cell r="K197">
            <v>0.38</v>
          </cell>
          <cell r="L197">
            <v>0.62</v>
          </cell>
          <cell r="M197"/>
          <cell r="P197"/>
          <cell r="Q197"/>
          <cell r="R197"/>
          <cell r="S197"/>
          <cell r="T197"/>
          <cell r="U197"/>
          <cell r="V197"/>
        </row>
        <row r="198">
          <cell r="A198"/>
          <cell r="H198" t="str">
            <v>Autres TP</v>
          </cell>
          <cell r="I198">
            <v>0.14000000000000001</v>
          </cell>
          <cell r="J198" t="str">
            <v>RPT61</v>
          </cell>
          <cell r="K198">
            <v>0.46</v>
          </cell>
          <cell r="L198">
            <v>0.54</v>
          </cell>
          <cell r="M198"/>
          <cell r="P198"/>
          <cell r="Q198"/>
          <cell r="R198"/>
          <cell r="S198"/>
          <cell r="T198"/>
          <cell r="U198"/>
          <cell r="V198"/>
        </row>
        <row r="199">
          <cell r="A199"/>
          <cell r="I199"/>
          <cell r="J199" t="str">
            <v>Autres TP</v>
          </cell>
          <cell r="K199">
            <v>1</v>
          </cell>
          <cell r="L199"/>
          <cell r="M199"/>
          <cell r="P199"/>
          <cell r="Q199"/>
          <cell r="R199"/>
          <cell r="S199"/>
          <cell r="T199"/>
          <cell r="U199"/>
          <cell r="V199"/>
        </row>
        <row r="200">
          <cell r="A200"/>
          <cell r="J200" t="str">
            <v>TTU</v>
          </cell>
          <cell r="K200"/>
          <cell r="L200"/>
          <cell r="P200"/>
          <cell r="Q200"/>
          <cell r="R200"/>
          <cell r="S200"/>
          <cell r="T200"/>
          <cell r="U200"/>
          <cell r="V200"/>
        </row>
        <row r="201">
          <cell r="A201"/>
          <cell r="J201" t="str">
            <v>UE</v>
          </cell>
          <cell r="K201">
            <v>28</v>
          </cell>
          <cell r="L201">
            <v>31</v>
          </cell>
          <cell r="M201"/>
          <cell r="P201"/>
          <cell r="Q201"/>
          <cell r="R201"/>
          <cell r="S201"/>
          <cell r="T201"/>
          <cell r="U201"/>
          <cell r="V201"/>
        </row>
        <row r="202">
          <cell r="A202"/>
          <cell r="J202" t="str">
            <v>RPT61</v>
          </cell>
          <cell r="K202">
            <v>39</v>
          </cell>
          <cell r="L202">
            <v>31</v>
          </cell>
          <cell r="P202"/>
          <cell r="Q202"/>
          <cell r="R202"/>
          <cell r="S202"/>
          <cell r="T202"/>
          <cell r="U202"/>
          <cell r="V202"/>
        </row>
        <row r="203">
          <cell r="A203"/>
          <cell r="J203" t="str">
            <v>Autres TP</v>
          </cell>
          <cell r="K203">
            <v>39</v>
          </cell>
          <cell r="L203"/>
          <cell r="M203"/>
          <cell r="P203"/>
          <cell r="Q203"/>
          <cell r="R203"/>
          <cell r="S203"/>
          <cell r="T203"/>
          <cell r="U203"/>
          <cell r="V203"/>
        </row>
        <row r="204">
          <cell r="A204"/>
          <cell r="J204" t="str">
            <v>Résultante unitaire</v>
          </cell>
          <cell r="K204"/>
          <cell r="L204"/>
          <cell r="P204"/>
          <cell r="Q204"/>
          <cell r="R204"/>
          <cell r="S204"/>
          <cell r="T204"/>
          <cell r="U204"/>
          <cell r="V204"/>
        </row>
        <row r="205">
          <cell r="A205"/>
          <cell r="J205" t="str">
            <v>PM</v>
          </cell>
          <cell r="K205">
            <v>0.49720000000000003</v>
          </cell>
          <cell r="L205">
            <v>0.50280000000000002</v>
          </cell>
          <cell r="M205"/>
          <cell r="P205"/>
          <cell r="Q205"/>
          <cell r="R205"/>
          <cell r="S205"/>
          <cell r="T205"/>
          <cell r="U205"/>
          <cell r="V205"/>
        </row>
        <row r="206">
          <cell r="A206"/>
          <cell r="J206" t="str">
            <v>TTU</v>
          </cell>
          <cell r="K206">
            <v>34.964601769911511</v>
          </cell>
          <cell r="L206">
            <v>31</v>
          </cell>
          <cell r="M206"/>
          <cell r="P206"/>
          <cell r="Q206"/>
          <cell r="R206"/>
          <cell r="S206"/>
          <cell r="T206"/>
          <cell r="U206"/>
          <cell r="V206"/>
        </row>
        <row r="207">
          <cell r="A207"/>
          <cell r="J207" t="str">
            <v xml:space="preserve">Débit unitaire </v>
          </cell>
          <cell r="K207">
            <v>102.96127562642367</v>
          </cell>
          <cell r="L207">
            <v>116.12903225806451</v>
          </cell>
          <cell r="M207"/>
          <cell r="P207"/>
          <cell r="Q207"/>
          <cell r="R207"/>
          <cell r="S207"/>
          <cell r="T207"/>
          <cell r="U207"/>
          <cell r="V207"/>
        </row>
        <row r="208">
          <cell r="A208"/>
          <cell r="I208"/>
          <cell r="J208"/>
          <cell r="K208"/>
          <cell r="L208"/>
          <cell r="M208"/>
          <cell r="P208"/>
          <cell r="Q208"/>
          <cell r="R208"/>
          <cell r="S208"/>
          <cell r="T208"/>
          <cell r="U208"/>
          <cell r="V208"/>
        </row>
        <row r="209">
          <cell r="A209"/>
          <cell r="I209"/>
          <cell r="J209"/>
          <cell r="K209"/>
          <cell r="L209"/>
          <cell r="M209"/>
          <cell r="P209"/>
          <cell r="Q209"/>
          <cell r="R209"/>
          <cell r="S209"/>
          <cell r="T209"/>
          <cell r="U209"/>
          <cell r="V209"/>
        </row>
        <row r="210">
          <cell r="A210"/>
          <cell r="I210"/>
          <cell r="J210"/>
          <cell r="K210"/>
          <cell r="L210"/>
          <cell r="M210"/>
          <cell r="P210"/>
          <cell r="Q210"/>
          <cell r="R210"/>
          <cell r="S210"/>
          <cell r="T210"/>
          <cell r="U210"/>
          <cell r="V210"/>
        </row>
        <row r="211">
          <cell r="A211"/>
          <cell r="I211"/>
          <cell r="J211"/>
          <cell r="K211"/>
          <cell r="L211"/>
          <cell r="M211"/>
          <cell r="N211"/>
        </row>
        <row r="212">
          <cell r="A212"/>
          <cell r="H212" t="str">
            <v>Sans EES</v>
          </cell>
          <cell r="I212"/>
          <cell r="J212"/>
          <cell r="K212"/>
          <cell r="L212"/>
          <cell r="N212"/>
        </row>
        <row r="213">
          <cell r="A213"/>
          <cell r="H213" t="str">
            <v>QP Passeports</v>
          </cell>
          <cell r="I213"/>
          <cell r="J213" t="str">
            <v>ModP F -&gt; S3</v>
          </cell>
          <cell r="K213" t="str">
            <v>Aubette</v>
          </cell>
          <cell r="L213" t="str">
            <v>Parafe</v>
          </cell>
          <cell r="M213"/>
          <cell r="N213"/>
          <cell r="O213" t="str">
            <v>T2E - PAF ModP F &gt; S3</v>
          </cell>
          <cell r="P213" t="str">
            <v>W22</v>
          </cell>
          <cell r="Q213" t="str">
            <v>S23</v>
          </cell>
          <cell r="R213" t="str">
            <v>W23</v>
          </cell>
          <cell r="S213" t="str">
            <v>S24</v>
          </cell>
          <cell r="T213" t="str">
            <v>W24</v>
          </cell>
          <cell r="U213" t="str">
            <v>S25</v>
          </cell>
          <cell r="V213" t="str">
            <v>W25</v>
          </cell>
          <cell r="W213" t="str">
            <v>S26</v>
          </cell>
          <cell r="X213" t="str">
            <v>W26</v>
          </cell>
          <cell r="Y213" t="str">
            <v>S27</v>
          </cell>
          <cell r="Z213" t="str">
            <v>W27</v>
          </cell>
        </row>
        <row r="214">
          <cell r="A214"/>
          <cell r="H214" t="str">
            <v>UE</v>
          </cell>
          <cell r="I214">
            <v>0.6</v>
          </cell>
          <cell r="J214" t="str">
            <v>Part modale</v>
          </cell>
          <cell r="K214"/>
          <cell r="L214"/>
          <cell r="N214"/>
        </row>
        <row r="215">
          <cell r="A215"/>
          <cell r="H215" t="str">
            <v>RPT61</v>
          </cell>
          <cell r="I215">
            <v>0.34</v>
          </cell>
          <cell r="J215" t="str">
            <v>UE</v>
          </cell>
          <cell r="K215">
            <v>0.4</v>
          </cell>
          <cell r="L215">
            <v>0.6</v>
          </cell>
          <cell r="M215"/>
          <cell r="N215"/>
          <cell r="O215" t="str">
            <v>NB position aubette</v>
          </cell>
          <cell r="P215">
            <v>14</v>
          </cell>
          <cell r="Q215">
            <v>14</v>
          </cell>
          <cell r="R215">
            <v>14</v>
          </cell>
          <cell r="S215">
            <v>10</v>
          </cell>
          <cell r="T215">
            <v>10</v>
          </cell>
          <cell r="U215">
            <v>10</v>
          </cell>
          <cell r="V215">
            <v>10</v>
          </cell>
          <cell r="W215">
            <v>10</v>
          </cell>
          <cell r="X215">
            <v>10</v>
          </cell>
          <cell r="Y215"/>
          <cell r="Z215"/>
        </row>
        <row r="216">
          <cell r="A216"/>
          <cell r="H216" t="str">
            <v>Autres TP</v>
          </cell>
          <cell r="I216">
            <v>0.06</v>
          </cell>
          <cell r="J216" t="str">
            <v>RPT61</v>
          </cell>
          <cell r="K216">
            <v>0.4</v>
          </cell>
          <cell r="L216">
            <v>0.6</v>
          </cell>
          <cell r="M216"/>
          <cell r="N216"/>
          <cell r="O216" t="str">
            <v>Débit unitaire</v>
          </cell>
          <cell r="P216">
            <v>102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  <cell r="V216">
            <v>109</v>
          </cell>
          <cell r="W216">
            <v>103</v>
          </cell>
          <cell r="X216">
            <v>103</v>
          </cell>
          <cell r="Y216"/>
          <cell r="Z216"/>
        </row>
        <row r="217">
          <cell r="A217"/>
          <cell r="I217"/>
          <cell r="J217" t="str">
            <v>Autres TP</v>
          </cell>
          <cell r="K217">
            <v>1</v>
          </cell>
          <cell r="L217"/>
          <cell r="M217"/>
          <cell r="N217"/>
          <cell r="O217" t="str">
            <v>Débit Aubette</v>
          </cell>
          <cell r="P217">
            <v>1428</v>
          </cell>
          <cell r="Q217">
            <v>1526</v>
          </cell>
          <cell r="R217">
            <v>1526</v>
          </cell>
          <cell r="S217">
            <v>1090</v>
          </cell>
          <cell r="T217">
            <v>1090</v>
          </cell>
          <cell r="U217">
            <v>1090</v>
          </cell>
          <cell r="V217">
            <v>1090</v>
          </cell>
          <cell r="W217">
            <v>1030</v>
          </cell>
          <cell r="X217">
            <v>1030</v>
          </cell>
          <cell r="Y217"/>
          <cell r="Z217"/>
        </row>
        <row r="218">
          <cell r="A218"/>
          <cell r="J218" t="str">
            <v>TTU</v>
          </cell>
          <cell r="K218"/>
          <cell r="L218"/>
          <cell r="N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</row>
        <row r="219">
          <cell r="A219"/>
          <cell r="J219" t="str">
            <v>UE</v>
          </cell>
          <cell r="K219">
            <v>28</v>
          </cell>
          <cell r="L219">
            <v>31</v>
          </cell>
          <cell r="M219"/>
          <cell r="N219"/>
          <cell r="O219" t="str">
            <v>NB Parafes</v>
          </cell>
          <cell r="P219">
            <v>5</v>
          </cell>
          <cell r="Q219">
            <v>6</v>
          </cell>
          <cell r="R219">
            <v>6</v>
          </cell>
          <cell r="S219">
            <v>12</v>
          </cell>
          <cell r="T219">
            <v>12</v>
          </cell>
          <cell r="U219">
            <v>12</v>
          </cell>
          <cell r="V219">
            <v>12</v>
          </cell>
          <cell r="W219">
            <v>12</v>
          </cell>
          <cell r="X219">
            <v>12</v>
          </cell>
          <cell r="Y219"/>
          <cell r="Z219"/>
        </row>
        <row r="220">
          <cell r="A220"/>
          <cell r="J220" t="str">
            <v>RPT61</v>
          </cell>
          <cell r="K220">
            <v>39.5</v>
          </cell>
          <cell r="L220">
            <v>31</v>
          </cell>
          <cell r="N220"/>
          <cell r="O220" t="str">
            <v>Débit unitaire</v>
          </cell>
          <cell r="P220">
            <v>116</v>
          </cell>
          <cell r="Q220">
            <v>116</v>
          </cell>
          <cell r="R220">
            <v>116</v>
          </cell>
          <cell r="S220">
            <v>116</v>
          </cell>
          <cell r="T220">
            <v>116</v>
          </cell>
          <cell r="U220">
            <v>116</v>
          </cell>
          <cell r="V220">
            <v>116</v>
          </cell>
          <cell r="W220">
            <v>116</v>
          </cell>
          <cell r="X220">
            <v>116</v>
          </cell>
          <cell r="Y220"/>
          <cell r="Z220"/>
        </row>
        <row r="221">
          <cell r="A221"/>
          <cell r="J221" t="str">
            <v>Autres TP</v>
          </cell>
          <cell r="K221">
            <v>39.5</v>
          </cell>
          <cell r="L221"/>
          <cell r="M221"/>
          <cell r="N221"/>
          <cell r="O221" t="str">
            <v>Débit Parafe</v>
          </cell>
          <cell r="P221">
            <v>580</v>
          </cell>
          <cell r="Q221">
            <v>696</v>
          </cell>
          <cell r="R221">
            <v>696</v>
          </cell>
          <cell r="S221">
            <v>1392</v>
          </cell>
          <cell r="T221">
            <v>1392</v>
          </cell>
          <cell r="U221">
            <v>1392</v>
          </cell>
          <cell r="V221">
            <v>1392</v>
          </cell>
          <cell r="W221">
            <v>1392</v>
          </cell>
          <cell r="X221">
            <v>1392</v>
          </cell>
          <cell r="Y221"/>
          <cell r="Z221"/>
        </row>
        <row r="222">
          <cell r="A222"/>
          <cell r="J222" t="str">
            <v>Résultante unitaire</v>
          </cell>
          <cell r="K222"/>
          <cell r="L222"/>
          <cell r="N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</row>
        <row r="223">
          <cell r="A223"/>
          <cell r="J223" t="str">
            <v>PM</v>
          </cell>
          <cell r="K223">
            <v>0.436</v>
          </cell>
          <cell r="L223">
            <v>0.56400000000000006</v>
          </cell>
          <cell r="M223"/>
          <cell r="N223"/>
          <cell r="O223" t="str">
            <v>Débit PAF DEP ModP F &gt; S3</v>
          </cell>
          <cell r="P223">
            <v>2008</v>
          </cell>
          <cell r="Q223">
            <v>2222</v>
          </cell>
          <cell r="R223">
            <v>2222</v>
          </cell>
          <cell r="S223">
            <v>2482</v>
          </cell>
          <cell r="T223">
            <v>2482</v>
          </cell>
          <cell r="U223">
            <v>2482</v>
          </cell>
          <cell r="V223">
            <v>2482</v>
          </cell>
          <cell r="W223">
            <v>2422</v>
          </cell>
          <cell r="X223">
            <v>2422</v>
          </cell>
          <cell r="Y223"/>
          <cell r="Z223"/>
        </row>
        <row r="224">
          <cell r="A224"/>
          <cell r="J224" t="str">
            <v>TTU</v>
          </cell>
          <cell r="K224">
            <v>33.169724770642205</v>
          </cell>
          <cell r="L224">
            <v>31</v>
          </cell>
          <cell r="M224"/>
          <cell r="N224"/>
        </row>
        <row r="225">
          <cell r="A225"/>
          <cell r="J225" t="str">
            <v xml:space="preserve">Débit unitaire </v>
          </cell>
          <cell r="K225">
            <v>108.53270640298713</v>
          </cell>
          <cell r="L225">
            <v>116.12903225806451</v>
          </cell>
          <cell r="M225"/>
          <cell r="N225"/>
        </row>
        <row r="226">
          <cell r="A226"/>
          <cell r="J226"/>
          <cell r="K226"/>
          <cell r="L226"/>
          <cell r="M226"/>
          <cell r="N226"/>
        </row>
        <row r="227">
          <cell r="A227"/>
          <cell r="I227"/>
          <cell r="J227"/>
          <cell r="K227"/>
          <cell r="L227"/>
          <cell r="M227"/>
          <cell r="N227"/>
        </row>
        <row r="228">
          <cell r="A228"/>
          <cell r="H228" t="str">
            <v>Avec EES</v>
          </cell>
          <cell r="I228"/>
          <cell r="J228"/>
          <cell r="K228"/>
          <cell r="L228"/>
          <cell r="P228"/>
          <cell r="Q228"/>
          <cell r="R228"/>
          <cell r="S228"/>
          <cell r="T228"/>
          <cell r="U228"/>
          <cell r="V228"/>
        </row>
        <row r="229">
          <cell r="A229"/>
          <cell r="H229" t="str">
            <v>QP Passeports</v>
          </cell>
          <cell r="I229"/>
          <cell r="J229" t="str">
            <v>ModP F -&gt; S3</v>
          </cell>
          <cell r="K229" t="str">
            <v>Aubette</v>
          </cell>
          <cell r="L229" t="str">
            <v>Parafe</v>
          </cell>
          <cell r="M229"/>
          <cell r="P229"/>
          <cell r="Q229"/>
          <cell r="R229"/>
          <cell r="S229"/>
          <cell r="T229"/>
          <cell r="U229"/>
          <cell r="V229"/>
        </row>
        <row r="230">
          <cell r="A230"/>
          <cell r="H230" t="str">
            <v>UE</v>
          </cell>
          <cell r="I230">
            <v>0.48</v>
          </cell>
          <cell r="J230" t="str">
            <v>Part modale</v>
          </cell>
          <cell r="K230"/>
          <cell r="L230"/>
          <cell r="P230"/>
          <cell r="Q230"/>
          <cell r="R230"/>
          <cell r="S230"/>
          <cell r="T230"/>
          <cell r="U230"/>
          <cell r="V230"/>
        </row>
        <row r="231">
          <cell r="A231"/>
          <cell r="H231" t="str">
            <v>RPT61</v>
          </cell>
          <cell r="I231">
            <v>0.38</v>
          </cell>
          <cell r="J231" t="str">
            <v>UE</v>
          </cell>
          <cell r="K231">
            <v>0.38</v>
          </cell>
          <cell r="L231">
            <v>0.62</v>
          </cell>
          <cell r="M231"/>
          <cell r="P231"/>
          <cell r="Q231"/>
          <cell r="R231"/>
          <cell r="S231"/>
          <cell r="T231"/>
          <cell r="U231"/>
          <cell r="V231"/>
        </row>
        <row r="232">
          <cell r="A232"/>
          <cell r="H232" t="str">
            <v>Autres TP</v>
          </cell>
          <cell r="I232">
            <v>0.14000000000000001</v>
          </cell>
          <cell r="J232" t="str">
            <v>RPT61</v>
          </cell>
          <cell r="K232">
            <v>0.46</v>
          </cell>
          <cell r="L232">
            <v>0.54</v>
          </cell>
          <cell r="M232"/>
          <cell r="P232"/>
          <cell r="Q232"/>
          <cell r="R232"/>
          <cell r="S232"/>
          <cell r="T232"/>
          <cell r="U232"/>
          <cell r="V232"/>
        </row>
        <row r="233">
          <cell r="A233"/>
          <cell r="I233"/>
          <cell r="J233" t="str">
            <v>Autres TP</v>
          </cell>
          <cell r="K233">
            <v>1</v>
          </cell>
          <cell r="L233"/>
          <cell r="M233"/>
          <cell r="P233"/>
          <cell r="Q233"/>
          <cell r="R233"/>
          <cell r="S233"/>
          <cell r="T233"/>
          <cell r="U233"/>
          <cell r="V233"/>
        </row>
        <row r="234">
          <cell r="A234"/>
          <cell r="J234" t="str">
            <v>TTU</v>
          </cell>
          <cell r="K234"/>
          <cell r="L234"/>
          <cell r="P234"/>
          <cell r="Q234"/>
          <cell r="R234"/>
          <cell r="S234"/>
          <cell r="T234"/>
          <cell r="U234"/>
          <cell r="V234"/>
        </row>
        <row r="235">
          <cell r="A235"/>
          <cell r="J235" t="str">
            <v>UE</v>
          </cell>
          <cell r="K235">
            <v>28</v>
          </cell>
          <cell r="L235">
            <v>31</v>
          </cell>
          <cell r="M235"/>
          <cell r="P235"/>
          <cell r="Q235"/>
          <cell r="R235"/>
          <cell r="S235"/>
          <cell r="T235"/>
          <cell r="U235"/>
          <cell r="V235"/>
        </row>
        <row r="236">
          <cell r="A236"/>
          <cell r="J236" t="str">
            <v>RPT61</v>
          </cell>
          <cell r="K236">
            <v>39</v>
          </cell>
          <cell r="L236">
            <v>31</v>
          </cell>
          <cell r="P236"/>
          <cell r="Q236"/>
          <cell r="R236"/>
          <cell r="S236"/>
          <cell r="T236"/>
          <cell r="U236"/>
          <cell r="V236"/>
        </row>
        <row r="237">
          <cell r="A237"/>
          <cell r="J237" t="str">
            <v>Autres TP</v>
          </cell>
          <cell r="K237">
            <v>39</v>
          </cell>
          <cell r="L237"/>
          <cell r="M237"/>
          <cell r="P237"/>
          <cell r="Q237"/>
          <cell r="R237"/>
          <cell r="S237"/>
          <cell r="T237"/>
          <cell r="U237"/>
          <cell r="V237"/>
        </row>
        <row r="238">
          <cell r="A238"/>
          <cell r="J238" t="str">
            <v>Résultante unitaire</v>
          </cell>
          <cell r="K238"/>
          <cell r="L238"/>
          <cell r="P238"/>
          <cell r="Q238"/>
          <cell r="R238"/>
          <cell r="S238"/>
          <cell r="T238"/>
          <cell r="U238"/>
          <cell r="V238"/>
        </row>
        <row r="239">
          <cell r="A239"/>
          <cell r="J239" t="str">
            <v>PM</v>
          </cell>
          <cell r="K239">
            <v>0.49720000000000003</v>
          </cell>
          <cell r="L239">
            <v>0.50280000000000002</v>
          </cell>
          <cell r="M239"/>
          <cell r="P239"/>
          <cell r="Q239"/>
          <cell r="R239"/>
          <cell r="S239"/>
          <cell r="T239"/>
          <cell r="U239"/>
          <cell r="V239"/>
        </row>
        <row r="240">
          <cell r="A240"/>
          <cell r="J240" t="str">
            <v>TTU</v>
          </cell>
          <cell r="K240">
            <v>34.964601769911511</v>
          </cell>
          <cell r="L240">
            <v>31</v>
          </cell>
          <cell r="M240"/>
          <cell r="P240"/>
          <cell r="Q240"/>
          <cell r="R240"/>
          <cell r="S240"/>
          <cell r="T240"/>
          <cell r="U240"/>
          <cell r="V240"/>
        </row>
        <row r="241">
          <cell r="A241"/>
          <cell r="J241" t="str">
            <v xml:space="preserve">Débit unitaire </v>
          </cell>
          <cell r="K241">
            <v>102.96127562642367</v>
          </cell>
          <cell r="L241">
            <v>116.12903225806451</v>
          </cell>
          <cell r="M241"/>
          <cell r="P241"/>
          <cell r="Q241"/>
          <cell r="R241"/>
          <cell r="S241"/>
          <cell r="T241"/>
          <cell r="U241"/>
          <cell r="V241"/>
        </row>
        <row r="242">
          <cell r="A242"/>
          <cell r="I242"/>
          <cell r="J242"/>
          <cell r="K242"/>
          <cell r="L242"/>
          <cell r="M242"/>
          <cell r="P242"/>
          <cell r="Q242"/>
          <cell r="R242"/>
          <cell r="S242"/>
          <cell r="T242"/>
          <cell r="U242"/>
          <cell r="V242"/>
        </row>
        <row r="243">
          <cell r="A243"/>
          <cell r="I243"/>
          <cell r="J243"/>
          <cell r="K243"/>
          <cell r="L243"/>
          <cell r="M243"/>
          <cell r="P243"/>
          <cell r="Q243"/>
          <cell r="R243"/>
          <cell r="S243"/>
          <cell r="T243"/>
          <cell r="U243"/>
          <cell r="V243"/>
        </row>
        <row r="244">
          <cell r="A244"/>
          <cell r="I244"/>
          <cell r="J244"/>
          <cell r="K244"/>
          <cell r="L244"/>
          <cell r="M244"/>
          <cell r="P244"/>
          <cell r="Q244"/>
          <cell r="R244"/>
          <cell r="S244"/>
          <cell r="T244"/>
          <cell r="U244"/>
          <cell r="V244"/>
        </row>
        <row r="245">
          <cell r="A245"/>
          <cell r="I245"/>
          <cell r="J245"/>
          <cell r="K245"/>
          <cell r="L245"/>
          <cell r="M245"/>
          <cell r="P245"/>
          <cell r="Q245"/>
          <cell r="R245"/>
          <cell r="S245"/>
          <cell r="T245"/>
          <cell r="U245"/>
          <cell r="V245"/>
        </row>
        <row r="246">
          <cell r="A246"/>
          <cell r="H246" t="str">
            <v>Sans EES</v>
          </cell>
          <cell r="I246"/>
          <cell r="J246"/>
          <cell r="K246"/>
          <cell r="L246"/>
          <cell r="O246" t="str">
            <v>T2E - PAF 2G vers INT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 t="str">
            <v>S27</v>
          </cell>
          <cell r="Z246" t="str">
            <v>W27</v>
          </cell>
        </row>
        <row r="247">
          <cell r="A247"/>
          <cell r="H247" t="str">
            <v>QP Passeports</v>
          </cell>
          <cell r="I247"/>
          <cell r="J247" t="str">
            <v>ModP F -&gt; S3</v>
          </cell>
          <cell r="K247" t="str">
            <v>Aubette</v>
          </cell>
          <cell r="L247" t="str">
            <v>Parafe</v>
          </cell>
          <cell r="M247"/>
        </row>
        <row r="248">
          <cell r="A248"/>
          <cell r="H248" t="str">
            <v>UE</v>
          </cell>
          <cell r="I248">
            <v>0.6</v>
          </cell>
          <cell r="J248" t="str">
            <v>Part modale</v>
          </cell>
          <cell r="K248"/>
          <cell r="L248"/>
          <cell r="O248" t="str">
            <v>NB position aubette</v>
          </cell>
          <cell r="P248"/>
          <cell r="Q248"/>
          <cell r="R248"/>
          <cell r="S248">
            <v>6</v>
          </cell>
          <cell r="T248">
            <v>6</v>
          </cell>
          <cell r="U248">
            <v>6</v>
          </cell>
          <cell r="V248">
            <v>6</v>
          </cell>
          <cell r="W248">
            <v>6</v>
          </cell>
          <cell r="X248">
            <v>6</v>
          </cell>
          <cell r="Y248"/>
          <cell r="Z248"/>
        </row>
        <row r="249">
          <cell r="A249"/>
          <cell r="H249" t="str">
            <v>RPT61</v>
          </cell>
          <cell r="I249">
            <v>0.34</v>
          </cell>
          <cell r="J249" t="str">
            <v>UE</v>
          </cell>
          <cell r="K249">
            <v>0.4</v>
          </cell>
          <cell r="L249">
            <v>0.6</v>
          </cell>
          <cell r="M249"/>
          <cell r="O249" t="str">
            <v>Débit unitaire</v>
          </cell>
          <cell r="P249"/>
          <cell r="Q249"/>
          <cell r="R249"/>
          <cell r="S249">
            <v>109</v>
          </cell>
          <cell r="T249">
            <v>109</v>
          </cell>
          <cell r="U249">
            <v>109</v>
          </cell>
          <cell r="V249">
            <v>109</v>
          </cell>
          <cell r="W249">
            <v>103</v>
          </cell>
          <cell r="X249">
            <v>103</v>
          </cell>
          <cell r="Y249"/>
          <cell r="Z249"/>
        </row>
        <row r="250">
          <cell r="A250"/>
          <cell r="H250" t="str">
            <v>Autres TP</v>
          </cell>
          <cell r="I250">
            <v>0.06</v>
          </cell>
          <cell r="J250" t="str">
            <v>RPT61</v>
          </cell>
          <cell r="K250">
            <v>0.4</v>
          </cell>
          <cell r="L250">
            <v>0.6</v>
          </cell>
          <cell r="M250"/>
          <cell r="O250" t="str">
            <v>Débit Aubette</v>
          </cell>
          <cell r="P250"/>
          <cell r="Q250"/>
          <cell r="R250"/>
          <cell r="S250">
            <v>654</v>
          </cell>
          <cell r="T250">
            <v>654</v>
          </cell>
          <cell r="U250">
            <v>654</v>
          </cell>
          <cell r="V250">
            <v>654</v>
          </cell>
          <cell r="W250">
            <v>618</v>
          </cell>
          <cell r="X250">
            <v>618</v>
          </cell>
          <cell r="Y250"/>
          <cell r="Z250"/>
        </row>
        <row r="251">
          <cell r="A251"/>
          <cell r="I251"/>
          <cell r="J251" t="str">
            <v>Autres TP</v>
          </cell>
          <cell r="K251">
            <v>1</v>
          </cell>
          <cell r="L251"/>
          <cell r="M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</row>
        <row r="252">
          <cell r="A252"/>
          <cell r="J252" t="str">
            <v>TTU</v>
          </cell>
          <cell r="K252"/>
          <cell r="L252"/>
          <cell r="O252" t="str">
            <v>NB Parafes</v>
          </cell>
          <cell r="P252"/>
          <cell r="Q252"/>
          <cell r="R252"/>
          <cell r="S252">
            <v>6</v>
          </cell>
          <cell r="T252">
            <v>6</v>
          </cell>
          <cell r="U252">
            <v>6</v>
          </cell>
          <cell r="V252">
            <v>6</v>
          </cell>
          <cell r="W252">
            <v>6</v>
          </cell>
          <cell r="X252">
            <v>6</v>
          </cell>
          <cell r="Y252"/>
          <cell r="Z252"/>
        </row>
        <row r="253">
          <cell r="A253"/>
          <cell r="J253" t="str">
            <v>UE</v>
          </cell>
          <cell r="K253">
            <v>28</v>
          </cell>
          <cell r="L253">
            <v>31</v>
          </cell>
          <cell r="M253"/>
          <cell r="O253" t="str">
            <v>Débit unitaire</v>
          </cell>
          <cell r="P253"/>
          <cell r="Q253"/>
          <cell r="R253"/>
          <cell r="S253">
            <v>116</v>
          </cell>
          <cell r="T253">
            <v>116</v>
          </cell>
          <cell r="U253">
            <v>116</v>
          </cell>
          <cell r="V253">
            <v>116</v>
          </cell>
          <cell r="W253">
            <v>116</v>
          </cell>
          <cell r="X253">
            <v>116</v>
          </cell>
          <cell r="Y253"/>
          <cell r="Z253"/>
        </row>
        <row r="254">
          <cell r="A254"/>
          <cell r="J254" t="str">
            <v>RPT61</v>
          </cell>
          <cell r="K254">
            <v>39.5</v>
          </cell>
          <cell r="L254">
            <v>31</v>
          </cell>
          <cell r="O254" t="str">
            <v>Débit Parafe</v>
          </cell>
          <cell r="P254"/>
          <cell r="Q254"/>
          <cell r="R254"/>
          <cell r="S254">
            <v>696</v>
          </cell>
          <cell r="T254">
            <v>696</v>
          </cell>
          <cell r="U254">
            <v>696</v>
          </cell>
          <cell r="V254">
            <v>696</v>
          </cell>
          <cell r="W254">
            <v>696</v>
          </cell>
          <cell r="X254">
            <v>696</v>
          </cell>
          <cell r="Y254"/>
          <cell r="Z254"/>
        </row>
        <row r="255">
          <cell r="A255"/>
          <cell r="J255" t="str">
            <v>Autres TP</v>
          </cell>
          <cell r="K255">
            <v>39.5</v>
          </cell>
          <cell r="L255"/>
          <cell r="M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</row>
        <row r="256">
          <cell r="A256"/>
          <cell r="J256" t="str">
            <v>Résultante unitaire</v>
          </cell>
          <cell r="K256"/>
          <cell r="L256"/>
          <cell r="O256" t="str">
            <v>Débit PAF 2G vers INT</v>
          </cell>
          <cell r="P256">
            <v>0</v>
          </cell>
          <cell r="Q256">
            <v>0</v>
          </cell>
          <cell r="R256">
            <v>0</v>
          </cell>
          <cell r="S256">
            <v>1350</v>
          </cell>
          <cell r="T256">
            <v>1350</v>
          </cell>
          <cell r="U256">
            <v>1350</v>
          </cell>
          <cell r="V256">
            <v>1350</v>
          </cell>
          <cell r="W256">
            <v>1314</v>
          </cell>
          <cell r="X256">
            <v>1314</v>
          </cell>
          <cell r="Y256"/>
          <cell r="Z256"/>
        </row>
        <row r="257">
          <cell r="A257"/>
          <cell r="J257" t="str">
            <v>PM</v>
          </cell>
          <cell r="K257">
            <v>0.436</v>
          </cell>
          <cell r="L257">
            <v>0.56400000000000006</v>
          </cell>
          <cell r="M257"/>
          <cell r="P257"/>
          <cell r="Q257"/>
          <cell r="R257"/>
          <cell r="S257"/>
          <cell r="T257"/>
          <cell r="U257"/>
          <cell r="V257"/>
        </row>
        <row r="258">
          <cell r="A258"/>
          <cell r="J258" t="str">
            <v>TTU</v>
          </cell>
          <cell r="K258">
            <v>33.169724770642205</v>
          </cell>
          <cell r="L258">
            <v>31</v>
          </cell>
          <cell r="M258"/>
          <cell r="P258"/>
          <cell r="Q258"/>
          <cell r="R258"/>
          <cell r="S258"/>
          <cell r="T258"/>
          <cell r="U258"/>
          <cell r="V258"/>
        </row>
        <row r="259">
          <cell r="A259"/>
          <cell r="J259" t="str">
            <v xml:space="preserve">Débit unitaire </v>
          </cell>
          <cell r="K259">
            <v>108.53270640298713</v>
          </cell>
          <cell r="L259">
            <v>116.12903225806451</v>
          </cell>
          <cell r="M259"/>
          <cell r="P259"/>
          <cell r="Q259"/>
          <cell r="R259"/>
          <cell r="S259"/>
          <cell r="T259"/>
          <cell r="U259"/>
          <cell r="V259"/>
        </row>
        <row r="260">
          <cell r="A260"/>
          <cell r="J260"/>
          <cell r="K260"/>
          <cell r="L260"/>
          <cell r="M260"/>
          <cell r="P260"/>
          <cell r="Q260"/>
          <cell r="R260"/>
          <cell r="S260"/>
          <cell r="T260"/>
          <cell r="U260"/>
          <cell r="V260"/>
        </row>
        <row r="261">
          <cell r="A261"/>
          <cell r="I261"/>
          <cell r="J261"/>
          <cell r="K261"/>
          <cell r="L261"/>
          <cell r="M261"/>
          <cell r="P261"/>
          <cell r="Q261"/>
          <cell r="R261"/>
          <cell r="S261"/>
          <cell r="T261"/>
          <cell r="U261"/>
          <cell r="V261"/>
        </row>
        <row r="262">
          <cell r="A262"/>
          <cell r="H262" t="str">
            <v>Avec EES</v>
          </cell>
          <cell r="I262"/>
          <cell r="J262"/>
          <cell r="K262"/>
          <cell r="L262"/>
          <cell r="P262"/>
          <cell r="Q262"/>
          <cell r="R262"/>
          <cell r="S262"/>
          <cell r="T262"/>
          <cell r="U262"/>
          <cell r="V262"/>
        </row>
        <row r="263">
          <cell r="A263"/>
          <cell r="H263" t="str">
            <v>QP Passeports</v>
          </cell>
          <cell r="I263"/>
          <cell r="J263" t="str">
            <v>ModP F -&gt; S3</v>
          </cell>
          <cell r="K263" t="str">
            <v>Aubette</v>
          </cell>
          <cell r="L263" t="str">
            <v>Parafe</v>
          </cell>
          <cell r="M263"/>
          <cell r="P263"/>
          <cell r="Q263"/>
          <cell r="R263"/>
          <cell r="S263"/>
          <cell r="T263"/>
          <cell r="U263"/>
          <cell r="V263"/>
        </row>
        <row r="264">
          <cell r="A264"/>
          <cell r="H264" t="str">
            <v>UE</v>
          </cell>
          <cell r="I264">
            <v>0.48</v>
          </cell>
          <cell r="J264" t="str">
            <v>Part modale</v>
          </cell>
          <cell r="K264"/>
          <cell r="L264"/>
          <cell r="P264"/>
          <cell r="Q264"/>
          <cell r="R264"/>
          <cell r="S264"/>
          <cell r="T264"/>
          <cell r="U264"/>
          <cell r="V264"/>
        </row>
        <row r="265">
          <cell r="A265"/>
          <cell r="H265" t="str">
            <v>RPT61</v>
          </cell>
          <cell r="I265">
            <v>0.38</v>
          </cell>
          <cell r="J265" t="str">
            <v>UE</v>
          </cell>
          <cell r="K265">
            <v>0.38</v>
          </cell>
          <cell r="L265">
            <v>0.62</v>
          </cell>
          <cell r="M265"/>
          <cell r="P265"/>
          <cell r="Q265"/>
          <cell r="R265"/>
          <cell r="S265"/>
          <cell r="T265"/>
          <cell r="U265"/>
          <cell r="V265"/>
        </row>
        <row r="266">
          <cell r="A266"/>
          <cell r="H266" t="str">
            <v>Autres TP</v>
          </cell>
          <cell r="I266">
            <v>0.14000000000000001</v>
          </cell>
          <cell r="J266" t="str">
            <v>RPT61</v>
          </cell>
          <cell r="K266">
            <v>0.46</v>
          </cell>
          <cell r="L266">
            <v>0.54</v>
          </cell>
          <cell r="M266"/>
          <cell r="P266"/>
          <cell r="Q266"/>
          <cell r="R266"/>
          <cell r="S266"/>
          <cell r="T266"/>
          <cell r="U266"/>
          <cell r="V266"/>
        </row>
        <row r="267">
          <cell r="A267"/>
          <cell r="I267"/>
          <cell r="J267" t="str">
            <v>Autres TP</v>
          </cell>
          <cell r="K267">
            <v>1</v>
          </cell>
          <cell r="L267"/>
          <cell r="M267"/>
          <cell r="P267"/>
          <cell r="Q267"/>
          <cell r="R267"/>
          <cell r="S267"/>
          <cell r="T267"/>
          <cell r="U267"/>
          <cell r="V267"/>
        </row>
        <row r="268">
          <cell r="A268"/>
          <cell r="J268" t="str">
            <v>TTU</v>
          </cell>
          <cell r="K268"/>
          <cell r="L268"/>
          <cell r="P268"/>
          <cell r="Q268"/>
          <cell r="R268"/>
          <cell r="S268"/>
          <cell r="T268"/>
          <cell r="U268"/>
          <cell r="V268"/>
        </row>
        <row r="269">
          <cell r="A269"/>
          <cell r="J269" t="str">
            <v>UE</v>
          </cell>
          <cell r="K269">
            <v>28</v>
          </cell>
          <cell r="L269">
            <v>31</v>
          </cell>
          <cell r="M269"/>
          <cell r="P269"/>
          <cell r="Q269"/>
          <cell r="R269"/>
          <cell r="S269"/>
          <cell r="T269"/>
          <cell r="U269"/>
          <cell r="V269"/>
        </row>
        <row r="270">
          <cell r="A270"/>
          <cell r="J270" t="str">
            <v>RPT61</v>
          </cell>
          <cell r="K270">
            <v>39</v>
          </cell>
          <cell r="L270">
            <v>31</v>
          </cell>
          <cell r="P270"/>
          <cell r="Q270"/>
          <cell r="R270"/>
          <cell r="S270"/>
          <cell r="T270"/>
          <cell r="U270"/>
          <cell r="V270"/>
        </row>
        <row r="271">
          <cell r="A271"/>
          <cell r="J271" t="str">
            <v>Autres TP</v>
          </cell>
          <cell r="K271">
            <v>39</v>
          </cell>
          <cell r="L271"/>
          <cell r="M271"/>
          <cell r="P271"/>
          <cell r="Q271"/>
          <cell r="R271"/>
          <cell r="S271"/>
          <cell r="T271"/>
          <cell r="U271"/>
          <cell r="V271"/>
        </row>
        <row r="272">
          <cell r="A272"/>
          <cell r="J272" t="str">
            <v>Résultante unitaire</v>
          </cell>
          <cell r="K272"/>
          <cell r="L272"/>
          <cell r="P272"/>
          <cell r="Q272"/>
          <cell r="R272"/>
          <cell r="S272"/>
          <cell r="T272"/>
          <cell r="U272"/>
          <cell r="V272"/>
        </row>
        <row r="273">
          <cell r="A273"/>
          <cell r="J273" t="str">
            <v>PM</v>
          </cell>
          <cell r="K273">
            <v>0.49720000000000003</v>
          </cell>
          <cell r="L273">
            <v>0.50280000000000002</v>
          </cell>
          <cell r="M273"/>
          <cell r="P273"/>
          <cell r="Q273"/>
          <cell r="R273"/>
          <cell r="S273"/>
          <cell r="T273"/>
          <cell r="U273"/>
          <cell r="V273"/>
        </row>
        <row r="274">
          <cell r="A274"/>
          <cell r="J274" t="str">
            <v>TTU</v>
          </cell>
          <cell r="K274">
            <v>34.964601769911511</v>
          </cell>
          <cell r="L274">
            <v>31</v>
          </cell>
          <cell r="M274"/>
          <cell r="P274"/>
          <cell r="Q274"/>
          <cell r="R274"/>
          <cell r="S274"/>
          <cell r="T274"/>
          <cell r="U274"/>
          <cell r="V274"/>
        </row>
        <row r="275">
          <cell r="A275"/>
          <cell r="J275" t="str">
            <v xml:space="preserve">Débit unitaire </v>
          </cell>
          <cell r="K275">
            <v>102.96127562642367</v>
          </cell>
          <cell r="L275">
            <v>116.12903225806451</v>
          </cell>
          <cell r="M275"/>
          <cell r="P275"/>
          <cell r="Q275"/>
          <cell r="R275"/>
          <cell r="S275"/>
          <cell r="T275"/>
          <cell r="U275"/>
          <cell r="V275"/>
        </row>
        <row r="276">
          <cell r="A276"/>
          <cell r="I276"/>
          <cell r="J276"/>
          <cell r="K276"/>
          <cell r="L276"/>
          <cell r="M276"/>
          <cell r="N276"/>
        </row>
        <row r="277">
          <cell r="A277"/>
          <cell r="I277"/>
          <cell r="J277"/>
          <cell r="K277"/>
          <cell r="L277"/>
          <cell r="M277"/>
          <cell r="N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PIF</v>
          </cell>
        </row>
        <row r="281">
          <cell r="A281"/>
          <cell r="H281"/>
          <cell r="I281"/>
          <cell r="O281" t="str">
            <v>T2E- PIF T2EK Centraux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Y281" t="str">
            <v>S27</v>
          </cell>
          <cell r="Z281" t="str">
            <v>W27</v>
          </cell>
        </row>
        <row r="282">
          <cell r="A282"/>
          <cell r="I282"/>
          <cell r="J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O283" t="str">
            <v>NB LAM classique</v>
          </cell>
          <cell r="P283">
            <v>8</v>
          </cell>
          <cell r="Q283">
            <v>8</v>
          </cell>
          <cell r="R283">
            <v>8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4</v>
          </cell>
          <cell r="X283">
            <v>2</v>
          </cell>
          <cell r="Y283"/>
          <cell r="Z283"/>
        </row>
        <row r="284">
          <cell r="A284"/>
          <cell r="I284"/>
          <cell r="J284"/>
          <cell r="O284" t="str">
            <v>Débit LAM classique</v>
          </cell>
          <cell r="P284">
            <v>180</v>
          </cell>
          <cell r="Q284">
            <v>180</v>
          </cell>
          <cell r="R284">
            <v>195</v>
          </cell>
          <cell r="S284">
            <v>200</v>
          </cell>
          <cell r="T284">
            <v>200</v>
          </cell>
          <cell r="U284">
            <v>200</v>
          </cell>
          <cell r="V284">
            <v>200</v>
          </cell>
          <cell r="W284">
            <v>200</v>
          </cell>
          <cell r="X284">
            <v>200</v>
          </cell>
        </row>
        <row r="285">
          <cell r="A285"/>
          <cell r="I285"/>
          <cell r="J285"/>
          <cell r="R285"/>
          <cell r="S285"/>
          <cell r="T285"/>
          <cell r="U285"/>
        </row>
        <row r="286">
          <cell r="A286"/>
          <cell r="I286"/>
          <cell r="J286"/>
          <cell r="O286" t="str">
            <v>NB LAM EDSC</v>
          </cell>
          <cell r="P286"/>
          <cell r="Q286"/>
          <cell r="R286"/>
          <cell r="S286">
            <v>2</v>
          </cell>
          <cell r="T286">
            <v>2</v>
          </cell>
          <cell r="U286">
            <v>2</v>
          </cell>
          <cell r="V286">
            <v>2</v>
          </cell>
          <cell r="W286">
            <v>4</v>
          </cell>
          <cell r="X286">
            <v>6</v>
          </cell>
          <cell r="Y286">
            <v>7</v>
          </cell>
          <cell r="Z286"/>
        </row>
        <row r="287">
          <cell r="A287"/>
          <cell r="I287"/>
          <cell r="J287"/>
          <cell r="O287" t="str">
            <v>Débit LAM EDSC</v>
          </cell>
          <cell r="S287">
            <v>230</v>
          </cell>
          <cell r="T287">
            <v>230</v>
          </cell>
          <cell r="U287">
            <v>230</v>
          </cell>
          <cell r="V287">
            <v>250</v>
          </cell>
          <cell r="W287">
            <v>250</v>
          </cell>
          <cell r="X287">
            <v>250</v>
          </cell>
          <cell r="Y287">
            <v>250</v>
          </cell>
        </row>
        <row r="288">
          <cell r="A288"/>
          <cell r="I288"/>
          <cell r="J288"/>
        </row>
        <row r="289">
          <cell r="A289"/>
          <cell r="I289"/>
          <cell r="J289"/>
          <cell r="O289" t="str">
            <v>NB STD</v>
          </cell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</row>
        <row r="290">
          <cell r="A290"/>
          <cell r="I290"/>
          <cell r="J290"/>
          <cell r="O290" t="str">
            <v>Débit STD</v>
          </cell>
          <cell r="R290"/>
          <cell r="S290"/>
          <cell r="T290"/>
          <cell r="U290"/>
        </row>
        <row r="291">
          <cell r="A291"/>
          <cell r="I291"/>
          <cell r="J291"/>
          <cell r="R291"/>
          <cell r="S291"/>
          <cell r="T291"/>
          <cell r="U291"/>
        </row>
        <row r="292">
          <cell r="A292"/>
          <cell r="I292"/>
          <cell r="J292"/>
          <cell r="O292" t="str">
            <v>Débit PIF T2EK Centraux</v>
          </cell>
          <cell r="P292">
            <v>1440</v>
          </cell>
          <cell r="Q292">
            <v>1440</v>
          </cell>
          <cell r="R292">
            <v>1560</v>
          </cell>
          <cell r="S292">
            <v>1660</v>
          </cell>
          <cell r="T292">
            <v>1660</v>
          </cell>
          <cell r="U292">
            <v>1660</v>
          </cell>
          <cell r="V292">
            <v>1700</v>
          </cell>
          <cell r="W292">
            <v>1800</v>
          </cell>
          <cell r="X292">
            <v>1900</v>
          </cell>
          <cell r="Y292">
            <v>1750</v>
          </cell>
          <cell r="Z292">
            <v>0</v>
          </cell>
        </row>
        <row r="293">
          <cell r="A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</row>
        <row r="294">
          <cell r="A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</row>
        <row r="295">
          <cell r="A295"/>
          <cell r="O295" t="str">
            <v>T2EK Centraux - Surface PIF</v>
          </cell>
          <cell r="P295" t="str">
            <v>W22</v>
          </cell>
          <cell r="Q295" t="str">
            <v>S23</v>
          </cell>
          <cell r="R295" t="str">
            <v>W23</v>
          </cell>
          <cell r="S295" t="str">
            <v>S24</v>
          </cell>
          <cell r="T295" t="str">
            <v>W24</v>
          </cell>
          <cell r="U295" t="str">
            <v>S25</v>
          </cell>
          <cell r="V295" t="str">
            <v>W25</v>
          </cell>
          <cell r="W295" t="str">
            <v>S26</v>
          </cell>
          <cell r="X295" t="str">
            <v>W26</v>
          </cell>
          <cell r="Y295" t="str">
            <v>S27</v>
          </cell>
          <cell r="Z295" t="str">
            <v>W27</v>
          </cell>
        </row>
        <row r="296">
          <cell r="A296"/>
          <cell r="O296"/>
          <cell r="W296"/>
          <cell r="X296"/>
          <cell r="Y296"/>
          <cell r="Z296"/>
        </row>
        <row r="297">
          <cell r="A297"/>
          <cell r="O297" t="str">
            <v>SURFACE GLOBAL</v>
          </cell>
          <cell r="P297">
            <v>227</v>
          </cell>
          <cell r="Q297">
            <v>227</v>
          </cell>
          <cell r="R297">
            <v>227</v>
          </cell>
          <cell r="S297">
            <v>227</v>
          </cell>
          <cell r="T297">
            <v>227</v>
          </cell>
          <cell r="U297">
            <v>227</v>
          </cell>
          <cell r="V297">
            <v>278</v>
          </cell>
          <cell r="W297">
            <v>278</v>
          </cell>
          <cell r="X297">
            <v>278</v>
          </cell>
          <cell r="Y297"/>
          <cell r="Z297"/>
        </row>
        <row r="298">
          <cell r="A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</row>
        <row r="299">
          <cell r="A299"/>
          <cell r="O299" t="str">
            <v>Temps d'attente maximum (min)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</row>
        <row r="300">
          <cell r="A300"/>
          <cell r="O300" t="str">
            <v>Standard IATA C (m2/PAX)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</row>
        <row r="301">
          <cell r="A301"/>
          <cell r="O301"/>
        </row>
        <row r="302">
          <cell r="A302"/>
          <cell r="O302" t="str">
            <v>Attente PIF T2EK</v>
          </cell>
          <cell r="P302">
            <v>1362</v>
          </cell>
          <cell r="Q302">
            <v>1362</v>
          </cell>
          <cell r="R302">
            <v>1362</v>
          </cell>
          <cell r="S302">
            <v>1362</v>
          </cell>
          <cell r="T302">
            <v>1362</v>
          </cell>
          <cell r="U302">
            <v>1362</v>
          </cell>
          <cell r="V302">
            <v>1668</v>
          </cell>
          <cell r="W302">
            <v>1668</v>
          </cell>
          <cell r="X302">
            <v>1668</v>
          </cell>
          <cell r="Y302"/>
          <cell r="Z302"/>
        </row>
        <row r="303">
          <cell r="A303"/>
          <cell r="W303"/>
          <cell r="X303"/>
          <cell r="Y303"/>
          <cell r="Z303"/>
        </row>
        <row r="304">
          <cell r="A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</row>
        <row r="305">
          <cell r="A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</row>
        <row r="306">
          <cell r="A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</row>
        <row r="307">
          <cell r="A307"/>
          <cell r="I307"/>
          <cell r="P307"/>
          <cell r="Q307"/>
          <cell r="R307"/>
          <cell r="S307"/>
          <cell r="T307"/>
          <cell r="U307"/>
          <cell r="V307"/>
        </row>
        <row r="308">
          <cell r="A308"/>
          <cell r="I308"/>
          <cell r="O308" t="str">
            <v>T2E - PIF T2EL</v>
          </cell>
          <cell r="P308" t="str">
            <v>W22</v>
          </cell>
          <cell r="Q308" t="str">
            <v>S23</v>
          </cell>
          <cell r="R308" t="str">
            <v>W23</v>
          </cell>
          <cell r="S308" t="str">
            <v>S24</v>
          </cell>
          <cell r="T308" t="str">
            <v>W24</v>
          </cell>
          <cell r="U308" t="str">
            <v>S25</v>
          </cell>
          <cell r="V308" t="str">
            <v>W25</v>
          </cell>
          <cell r="W308" t="str">
            <v>S26</v>
          </cell>
          <cell r="X308" t="str">
            <v>W26</v>
          </cell>
          <cell r="Y308" t="str">
            <v>S27</v>
          </cell>
          <cell r="Z308" t="str">
            <v>W27</v>
          </cell>
        </row>
        <row r="309">
          <cell r="A309"/>
          <cell r="I309"/>
          <cell r="R309"/>
          <cell r="S309"/>
          <cell r="T309"/>
          <cell r="U309"/>
          <cell r="V309"/>
        </row>
        <row r="310">
          <cell r="A310"/>
          <cell r="I310"/>
          <cell r="O310" t="str">
            <v>NB LAM classique niv 1</v>
          </cell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</row>
        <row r="311">
          <cell r="A311"/>
          <cell r="I311"/>
          <cell r="O311" t="str">
            <v>Débit LAM classique niv 1</v>
          </cell>
        </row>
        <row r="312">
          <cell r="A312"/>
          <cell r="I312"/>
        </row>
        <row r="313">
          <cell r="A313"/>
          <cell r="I313"/>
          <cell r="O313" t="str">
            <v>NB STD niv 1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16</v>
          </cell>
          <cell r="V313">
            <v>16</v>
          </cell>
          <cell r="W313">
            <v>16</v>
          </cell>
          <cell r="X313">
            <v>16</v>
          </cell>
          <cell r="Y313"/>
          <cell r="Z313"/>
        </row>
        <row r="314">
          <cell r="A314"/>
          <cell r="I314"/>
          <cell r="O314" t="str">
            <v>Débit STD niv1</v>
          </cell>
          <cell r="P314">
            <v>130</v>
          </cell>
          <cell r="Q314">
            <v>130</v>
          </cell>
          <cell r="R314">
            <v>130</v>
          </cell>
          <cell r="S314">
            <v>130</v>
          </cell>
          <cell r="T314">
            <v>130</v>
          </cell>
          <cell r="U314">
            <v>130</v>
          </cell>
          <cell r="V314">
            <v>130</v>
          </cell>
          <cell r="W314">
            <v>130</v>
          </cell>
          <cell r="X314">
            <v>140</v>
          </cell>
        </row>
        <row r="315">
          <cell r="A315"/>
          <cell r="I315"/>
        </row>
        <row r="316">
          <cell r="A316"/>
          <cell r="I316"/>
          <cell r="O316" t="str">
            <v>Débit PIF T2EL niv1</v>
          </cell>
          <cell r="P316">
            <v>2080</v>
          </cell>
          <cell r="Q316">
            <v>2080</v>
          </cell>
          <cell r="R316">
            <v>2080</v>
          </cell>
          <cell r="S316">
            <v>2080</v>
          </cell>
          <cell r="T316">
            <v>2080</v>
          </cell>
          <cell r="U316">
            <v>2080</v>
          </cell>
          <cell r="V316">
            <v>2080</v>
          </cell>
          <cell r="W316">
            <v>2080</v>
          </cell>
          <cell r="X316">
            <v>2240</v>
          </cell>
          <cell r="Y316"/>
          <cell r="Z316"/>
        </row>
        <row r="317">
          <cell r="A317"/>
          <cell r="I317"/>
        </row>
        <row r="318">
          <cell r="A318"/>
          <cell r="I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</row>
        <row r="319">
          <cell r="A319"/>
          <cell r="I319"/>
          <cell r="O319" t="str">
            <v>NB LAM classique niv 2</v>
          </cell>
          <cell r="P319">
            <v>2</v>
          </cell>
          <cell r="Q319">
            <v>2</v>
          </cell>
          <cell r="R319">
            <v>2</v>
          </cell>
          <cell r="S319">
            <v>2</v>
          </cell>
          <cell r="T319">
            <v>2</v>
          </cell>
          <cell r="U319">
            <v>2</v>
          </cell>
          <cell r="V319">
            <v>2</v>
          </cell>
          <cell r="W319">
            <v>2</v>
          </cell>
          <cell r="X319">
            <v>2</v>
          </cell>
          <cell r="Y319"/>
          <cell r="Z319"/>
        </row>
        <row r="320">
          <cell r="A320"/>
          <cell r="I320"/>
          <cell r="O320" t="str">
            <v>Débit LAM classique niv 2</v>
          </cell>
          <cell r="P320">
            <v>200</v>
          </cell>
          <cell r="Q320">
            <v>200</v>
          </cell>
          <cell r="R320">
            <v>200</v>
          </cell>
          <cell r="S320">
            <v>200</v>
          </cell>
          <cell r="T320">
            <v>200</v>
          </cell>
          <cell r="U320">
            <v>200</v>
          </cell>
          <cell r="V320">
            <v>200</v>
          </cell>
          <cell r="W320">
            <v>200</v>
          </cell>
          <cell r="X320">
            <v>200</v>
          </cell>
        </row>
        <row r="321">
          <cell r="A321"/>
          <cell r="I321"/>
        </row>
        <row r="322">
          <cell r="A322"/>
          <cell r="I322"/>
          <cell r="O322" t="str">
            <v>NB STD niv 2</v>
          </cell>
          <cell r="P322">
            <v>8</v>
          </cell>
          <cell r="Q322">
            <v>8</v>
          </cell>
          <cell r="R322">
            <v>8</v>
          </cell>
          <cell r="S322">
            <v>8</v>
          </cell>
          <cell r="T322">
            <v>8</v>
          </cell>
          <cell r="U322">
            <v>8</v>
          </cell>
          <cell r="V322">
            <v>8</v>
          </cell>
          <cell r="W322">
            <v>8</v>
          </cell>
          <cell r="X322">
            <v>8</v>
          </cell>
          <cell r="Y322"/>
          <cell r="Z322"/>
        </row>
        <row r="323">
          <cell r="A323"/>
          <cell r="I323"/>
          <cell r="O323" t="str">
            <v>Débit STD niv 2</v>
          </cell>
          <cell r="P323">
            <v>130</v>
          </cell>
          <cell r="Q323">
            <v>130</v>
          </cell>
          <cell r="R323">
            <v>130</v>
          </cell>
          <cell r="S323">
            <v>140</v>
          </cell>
          <cell r="T323">
            <v>140</v>
          </cell>
          <cell r="U323">
            <v>140</v>
          </cell>
          <cell r="V323">
            <v>140</v>
          </cell>
          <cell r="W323">
            <v>140</v>
          </cell>
          <cell r="X323">
            <v>140</v>
          </cell>
        </row>
        <row r="324">
          <cell r="A324"/>
          <cell r="I324"/>
        </row>
        <row r="325">
          <cell r="A325"/>
          <cell r="I325"/>
          <cell r="O325" t="str">
            <v>Débit PIF T2EL niv2</v>
          </cell>
          <cell r="P325">
            <v>1440</v>
          </cell>
          <cell r="Q325">
            <v>1440</v>
          </cell>
          <cell r="R325">
            <v>1440</v>
          </cell>
          <cell r="S325">
            <v>1520</v>
          </cell>
          <cell r="T325">
            <v>1520</v>
          </cell>
          <cell r="U325">
            <v>1520</v>
          </cell>
          <cell r="V325">
            <v>1520</v>
          </cell>
          <cell r="W325">
            <v>1520</v>
          </cell>
          <cell r="X325">
            <v>1520</v>
          </cell>
          <cell r="Y325"/>
          <cell r="Z325"/>
        </row>
        <row r="326">
          <cell r="A326"/>
          <cell r="I326"/>
        </row>
        <row r="327">
          <cell r="A327"/>
          <cell r="I327"/>
          <cell r="O327" t="str">
            <v>Débit PIF T2EL</v>
          </cell>
          <cell r="P327">
            <v>3520</v>
          </cell>
          <cell r="Q327">
            <v>3520</v>
          </cell>
          <cell r="R327">
            <v>3520</v>
          </cell>
          <cell r="S327">
            <v>3600</v>
          </cell>
          <cell r="T327">
            <v>3600</v>
          </cell>
          <cell r="U327">
            <v>3600</v>
          </cell>
          <cell r="V327">
            <v>3600</v>
          </cell>
          <cell r="W327">
            <v>3600</v>
          </cell>
          <cell r="X327">
            <v>3760</v>
          </cell>
          <cell r="Y327"/>
          <cell r="Z327"/>
        </row>
        <row r="328">
          <cell r="A328"/>
          <cell r="I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</row>
        <row r="329">
          <cell r="A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</row>
        <row r="330">
          <cell r="A330"/>
          <cell r="O330" t="str">
            <v>T2EL - Surface PIF</v>
          </cell>
          <cell r="P330" t="str">
            <v>W22</v>
          </cell>
          <cell r="Q330" t="str">
            <v>S23</v>
          </cell>
          <cell r="R330" t="str">
            <v>W23</v>
          </cell>
          <cell r="S330" t="str">
            <v>S24</v>
          </cell>
          <cell r="T330" t="str">
            <v>W24</v>
          </cell>
          <cell r="U330" t="str">
            <v>S25</v>
          </cell>
          <cell r="V330" t="str">
            <v>W25</v>
          </cell>
          <cell r="W330" t="str">
            <v>S26</v>
          </cell>
          <cell r="X330" t="str">
            <v>W26</v>
          </cell>
          <cell r="Y330" t="str">
            <v>S27</v>
          </cell>
          <cell r="Z330" t="str">
            <v>W27</v>
          </cell>
        </row>
        <row r="331">
          <cell r="A331"/>
          <cell r="O331"/>
          <cell r="W331"/>
          <cell r="X331"/>
          <cell r="Y331"/>
          <cell r="Z331"/>
        </row>
        <row r="332">
          <cell r="A332"/>
          <cell r="O332" t="str">
            <v>Niv1</v>
          </cell>
          <cell r="P332">
            <v>320</v>
          </cell>
          <cell r="Q332">
            <v>320</v>
          </cell>
          <cell r="R332">
            <v>320</v>
          </cell>
          <cell r="S332">
            <v>320</v>
          </cell>
          <cell r="T332">
            <v>320</v>
          </cell>
          <cell r="U332">
            <v>482</v>
          </cell>
          <cell r="V332">
            <v>482</v>
          </cell>
          <cell r="W332">
            <v>482</v>
          </cell>
          <cell r="X332">
            <v>482</v>
          </cell>
        </row>
        <row r="333">
          <cell r="A333"/>
          <cell r="O333" t="str">
            <v>Niv2</v>
          </cell>
          <cell r="P333">
            <v>264</v>
          </cell>
          <cell r="Q333">
            <v>264</v>
          </cell>
          <cell r="R333">
            <v>264</v>
          </cell>
          <cell r="S333">
            <v>264</v>
          </cell>
          <cell r="T333">
            <v>264</v>
          </cell>
          <cell r="U333">
            <v>264</v>
          </cell>
          <cell r="V333">
            <v>264</v>
          </cell>
          <cell r="W333">
            <v>264</v>
          </cell>
          <cell r="X333">
            <v>264</v>
          </cell>
        </row>
        <row r="334">
          <cell r="A334"/>
          <cell r="O334" t="str">
            <v>SURFACE GLOBAL</v>
          </cell>
          <cell r="P334">
            <v>584</v>
          </cell>
          <cell r="Q334">
            <v>584</v>
          </cell>
          <cell r="R334">
            <v>584</v>
          </cell>
          <cell r="S334">
            <v>584</v>
          </cell>
          <cell r="T334">
            <v>584</v>
          </cell>
          <cell r="U334">
            <v>746</v>
          </cell>
          <cell r="V334">
            <v>746</v>
          </cell>
          <cell r="W334">
            <v>746</v>
          </cell>
          <cell r="X334">
            <v>746</v>
          </cell>
          <cell r="Y334"/>
          <cell r="Z334"/>
        </row>
        <row r="335">
          <cell r="A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</row>
        <row r="336">
          <cell r="A336"/>
          <cell r="O336" t="str">
            <v>Temps d'attente maximum (min)</v>
          </cell>
          <cell r="P336">
            <v>10</v>
          </cell>
          <cell r="Q336">
            <v>10</v>
          </cell>
          <cell r="R336">
            <v>10</v>
          </cell>
          <cell r="S336">
            <v>10</v>
          </cell>
          <cell r="T336">
            <v>10</v>
          </cell>
          <cell r="U336">
            <v>10</v>
          </cell>
          <cell r="V336">
            <v>10</v>
          </cell>
          <cell r="W336">
            <v>10</v>
          </cell>
          <cell r="X336">
            <v>10</v>
          </cell>
        </row>
        <row r="337">
          <cell r="A337"/>
          <cell r="O337" t="str">
            <v>Standard IATA C (m2/PAX)</v>
          </cell>
          <cell r="P337">
            <v>1</v>
          </cell>
          <cell r="Q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1</v>
          </cell>
          <cell r="X337">
            <v>1</v>
          </cell>
        </row>
        <row r="338">
          <cell r="A338"/>
          <cell r="O338"/>
        </row>
        <row r="339">
          <cell r="A339"/>
          <cell r="O339" t="str">
            <v>Attente PIF T2EL</v>
          </cell>
          <cell r="P339">
            <v>3504</v>
          </cell>
          <cell r="Q339">
            <v>3504</v>
          </cell>
          <cell r="R339">
            <v>3504</v>
          </cell>
          <cell r="S339">
            <v>3504</v>
          </cell>
          <cell r="T339">
            <v>3504</v>
          </cell>
          <cell r="U339">
            <v>4476</v>
          </cell>
          <cell r="V339">
            <v>4476</v>
          </cell>
          <cell r="W339">
            <v>4476</v>
          </cell>
          <cell r="X339">
            <v>4476</v>
          </cell>
          <cell r="Y339"/>
          <cell r="Z339"/>
        </row>
        <row r="340">
          <cell r="A340"/>
          <cell r="W340"/>
          <cell r="X340"/>
          <cell r="Y340"/>
          <cell r="Z340"/>
        </row>
        <row r="341">
          <cell r="A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</row>
        <row r="342">
          <cell r="A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</row>
        <row r="343">
          <cell r="A343"/>
          <cell r="I343"/>
          <cell r="W343"/>
          <cell r="X343"/>
          <cell r="Y343"/>
          <cell r="Z343"/>
        </row>
        <row r="344">
          <cell r="A344"/>
          <cell r="I344"/>
          <cell r="J344"/>
          <cell r="W344"/>
          <cell r="X344"/>
          <cell r="Y344"/>
          <cell r="Z344"/>
        </row>
        <row r="345">
          <cell r="A345"/>
          <cell r="I345"/>
          <cell r="J345"/>
          <cell r="O345" t="str">
            <v>T2E - PIF T2EM</v>
          </cell>
          <cell r="P345" t="str">
            <v>W22</v>
          </cell>
          <cell r="Q345" t="str">
            <v>S23</v>
          </cell>
          <cell r="R345" t="str">
            <v>W23</v>
          </cell>
          <cell r="S345" t="str">
            <v>S24</v>
          </cell>
          <cell r="T345" t="str">
            <v>W24</v>
          </cell>
          <cell r="U345" t="str">
            <v>S25</v>
          </cell>
          <cell r="V345" t="str">
            <v>W25</v>
          </cell>
          <cell r="W345" t="str">
            <v>S26</v>
          </cell>
          <cell r="X345" t="str">
            <v>W26</v>
          </cell>
          <cell r="Y345" t="str">
            <v>S27</v>
          </cell>
          <cell r="Z345" t="str">
            <v>W27</v>
          </cell>
        </row>
        <row r="346">
          <cell r="A346"/>
          <cell r="I346"/>
          <cell r="J346"/>
          <cell r="R346"/>
          <cell r="S346"/>
          <cell r="T346"/>
          <cell r="U346"/>
          <cell r="V346"/>
          <cell r="W346"/>
          <cell r="X346"/>
          <cell r="Y346"/>
          <cell r="Z346"/>
        </row>
        <row r="347">
          <cell r="A347"/>
          <cell r="I347"/>
          <cell r="J347"/>
          <cell r="O347" t="str">
            <v>NB LAM courte EDSC</v>
          </cell>
          <cell r="P347"/>
          <cell r="Q347"/>
          <cell r="R347"/>
          <cell r="S347"/>
          <cell r="T347"/>
          <cell r="U347"/>
          <cell r="V347"/>
          <cell r="W347">
            <v>3</v>
          </cell>
          <cell r="X347"/>
          <cell r="Y347"/>
          <cell r="Z347"/>
        </row>
        <row r="348">
          <cell r="A348"/>
          <cell r="I348"/>
          <cell r="J348"/>
          <cell r="O348" t="str">
            <v>Débit LAM classique</v>
          </cell>
          <cell r="R348"/>
          <cell r="S348"/>
          <cell r="T348"/>
          <cell r="U348"/>
          <cell r="V348"/>
          <cell r="W348">
            <v>200</v>
          </cell>
          <cell r="X348"/>
          <cell r="Y348"/>
          <cell r="Z348"/>
        </row>
        <row r="349">
          <cell r="A349"/>
          <cell r="I349"/>
          <cell r="J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I350"/>
          <cell r="J350"/>
          <cell r="O350" t="str">
            <v>NB STD</v>
          </cell>
          <cell r="P350">
            <v>14</v>
          </cell>
          <cell r="Q350">
            <v>14</v>
          </cell>
          <cell r="R350">
            <v>14</v>
          </cell>
          <cell r="S350">
            <v>14</v>
          </cell>
          <cell r="T350">
            <v>14</v>
          </cell>
          <cell r="U350">
            <v>14</v>
          </cell>
          <cell r="V350">
            <v>14</v>
          </cell>
          <cell r="W350">
            <v>11</v>
          </cell>
          <cell r="X350">
            <v>14</v>
          </cell>
          <cell r="Y350"/>
          <cell r="Z350"/>
        </row>
        <row r="351">
          <cell r="A351"/>
          <cell r="I351"/>
          <cell r="J351"/>
          <cell r="O351" t="str">
            <v>Débit STD</v>
          </cell>
          <cell r="P351">
            <v>130</v>
          </cell>
          <cell r="Q351">
            <v>130</v>
          </cell>
          <cell r="R351">
            <v>130</v>
          </cell>
          <cell r="S351">
            <v>140</v>
          </cell>
          <cell r="T351">
            <v>140</v>
          </cell>
          <cell r="U351">
            <v>140</v>
          </cell>
          <cell r="V351">
            <v>140</v>
          </cell>
          <cell r="W351">
            <v>140</v>
          </cell>
          <cell r="X351">
            <v>140</v>
          </cell>
        </row>
        <row r="352">
          <cell r="A352"/>
          <cell r="I352"/>
          <cell r="J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I353"/>
          <cell r="J353"/>
          <cell r="O353" t="str">
            <v>Débit PIF T2EM</v>
          </cell>
          <cell r="P353">
            <v>1820</v>
          </cell>
          <cell r="Q353">
            <v>1820</v>
          </cell>
          <cell r="R353">
            <v>1820</v>
          </cell>
          <cell r="S353">
            <v>1960</v>
          </cell>
          <cell r="T353">
            <v>1960</v>
          </cell>
          <cell r="U353">
            <v>1960</v>
          </cell>
          <cell r="V353">
            <v>1960</v>
          </cell>
          <cell r="W353">
            <v>2140</v>
          </cell>
          <cell r="X353">
            <v>1960</v>
          </cell>
          <cell r="Y353"/>
          <cell r="Z353"/>
        </row>
        <row r="354">
          <cell r="A354"/>
          <cell r="I354"/>
          <cell r="J354"/>
          <cell r="W354"/>
          <cell r="X354"/>
          <cell r="Y354"/>
          <cell r="Z354"/>
        </row>
        <row r="355">
          <cell r="A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O356" t="str">
            <v>T2EM - Surface PIF</v>
          </cell>
          <cell r="P356" t="str">
            <v>W22</v>
          </cell>
          <cell r="Q356" t="str">
            <v>S23</v>
          </cell>
          <cell r="R356" t="str">
            <v>W23</v>
          </cell>
          <cell r="S356" t="str">
            <v>S24</v>
          </cell>
          <cell r="T356" t="str">
            <v>W24</v>
          </cell>
          <cell r="U356" t="str">
            <v>S25</v>
          </cell>
          <cell r="V356" t="str">
            <v>W25</v>
          </cell>
          <cell r="W356" t="str">
            <v>S26</v>
          </cell>
          <cell r="X356" t="str">
            <v>W26</v>
          </cell>
          <cell r="Y356" t="str">
            <v>S27</v>
          </cell>
          <cell r="Z356" t="str">
            <v>W27</v>
          </cell>
        </row>
        <row r="357">
          <cell r="A357"/>
          <cell r="O357"/>
          <cell r="W357"/>
          <cell r="X357"/>
          <cell r="Y357"/>
          <cell r="Z357"/>
        </row>
        <row r="358">
          <cell r="A358"/>
          <cell r="O358" t="str">
            <v>SURFACE GLOBAL</v>
          </cell>
          <cell r="P358">
            <v>390</v>
          </cell>
          <cell r="Q358">
            <v>390</v>
          </cell>
          <cell r="R358">
            <v>390</v>
          </cell>
          <cell r="S358">
            <v>390</v>
          </cell>
          <cell r="T358">
            <v>390</v>
          </cell>
          <cell r="U358">
            <v>390</v>
          </cell>
          <cell r="V358">
            <v>390</v>
          </cell>
          <cell r="W358">
            <v>390</v>
          </cell>
          <cell r="X358">
            <v>390</v>
          </cell>
          <cell r="Y358"/>
          <cell r="Z358"/>
        </row>
        <row r="359">
          <cell r="A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</row>
        <row r="360">
          <cell r="A360"/>
          <cell r="O360" t="str">
            <v>Temps d'attente maximum (min)</v>
          </cell>
          <cell r="P360">
            <v>10</v>
          </cell>
          <cell r="Q360">
            <v>10</v>
          </cell>
          <cell r="R360">
            <v>10</v>
          </cell>
          <cell r="S360">
            <v>10</v>
          </cell>
          <cell r="T360">
            <v>10</v>
          </cell>
          <cell r="U360">
            <v>10</v>
          </cell>
          <cell r="V360">
            <v>10</v>
          </cell>
          <cell r="W360">
            <v>10</v>
          </cell>
          <cell r="X360">
            <v>10</v>
          </cell>
        </row>
        <row r="361">
          <cell r="A361"/>
          <cell r="O361" t="str">
            <v>Standard IATA C (m2/PAX)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  <cell r="O362"/>
        </row>
        <row r="363">
          <cell r="A363"/>
          <cell r="O363" t="str">
            <v>Attente PIF T2EM</v>
          </cell>
          <cell r="P363">
            <v>2340</v>
          </cell>
          <cell r="Q363">
            <v>2340</v>
          </cell>
          <cell r="R363">
            <v>2340</v>
          </cell>
          <cell r="S363">
            <v>2340</v>
          </cell>
          <cell r="T363">
            <v>2340</v>
          </cell>
          <cell r="U363">
            <v>2340</v>
          </cell>
          <cell r="V363">
            <v>2340</v>
          </cell>
          <cell r="W363">
            <v>2340</v>
          </cell>
          <cell r="X363">
            <v>2340</v>
          </cell>
          <cell r="Y363"/>
          <cell r="Z363"/>
        </row>
        <row r="364">
          <cell r="A364"/>
          <cell r="W364"/>
          <cell r="X364"/>
          <cell r="Y364"/>
          <cell r="Z364"/>
        </row>
        <row r="365">
          <cell r="A365"/>
          <cell r="W365"/>
          <cell r="X365"/>
          <cell r="Y365"/>
          <cell r="Z365"/>
        </row>
        <row r="366">
          <cell r="A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</row>
        <row r="367">
          <cell r="A367"/>
          <cell r="I367"/>
          <cell r="J367"/>
          <cell r="W367"/>
          <cell r="X367"/>
          <cell r="Y367"/>
          <cell r="Z367"/>
        </row>
        <row r="368">
          <cell r="A368"/>
          <cell r="I368"/>
          <cell r="J368"/>
          <cell r="W368"/>
          <cell r="X368"/>
          <cell r="Y368"/>
          <cell r="Z368"/>
        </row>
        <row r="369">
          <cell r="A369"/>
          <cell r="I369"/>
          <cell r="O369" t="str">
            <v>T2E - PIF Gal K &gt; F</v>
          </cell>
          <cell r="P369" t="str">
            <v>W22</v>
          </cell>
          <cell r="Q369" t="str">
            <v>S23</v>
          </cell>
          <cell r="R369" t="str">
            <v>W23</v>
          </cell>
          <cell r="S369" t="str">
            <v>S24</v>
          </cell>
          <cell r="T369" t="str">
            <v>W24</v>
          </cell>
          <cell r="U369" t="str">
            <v>S25</v>
          </cell>
          <cell r="V369" t="str">
            <v>W25</v>
          </cell>
          <cell r="W369" t="str">
            <v>S26</v>
          </cell>
          <cell r="X369" t="str">
            <v>W26</v>
          </cell>
          <cell r="Y369" t="str">
            <v>S27</v>
          </cell>
          <cell r="Z369" t="str">
            <v>W27</v>
          </cell>
        </row>
        <row r="370">
          <cell r="A370"/>
          <cell r="I370"/>
          <cell r="R370"/>
          <cell r="S370"/>
          <cell r="T370"/>
          <cell r="U370"/>
          <cell r="V370"/>
          <cell r="W370"/>
          <cell r="X370"/>
          <cell r="Y370"/>
          <cell r="Z370"/>
        </row>
        <row r="371">
          <cell r="A371"/>
          <cell r="O371" t="str">
            <v>NB LAM classique</v>
          </cell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</row>
        <row r="372">
          <cell r="A372"/>
          <cell r="O372" t="str">
            <v>Débit LAM classique</v>
          </cell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/>
          <cell r="R373"/>
          <cell r="S373"/>
          <cell r="T373"/>
          <cell r="U373"/>
          <cell r="V373"/>
          <cell r="W373"/>
          <cell r="X373"/>
          <cell r="Y373"/>
          <cell r="Z373"/>
        </row>
        <row r="374">
          <cell r="A374"/>
          <cell r="O374" t="str">
            <v>NB STD</v>
          </cell>
          <cell r="P374">
            <v>13</v>
          </cell>
          <cell r="Q374">
            <v>13</v>
          </cell>
          <cell r="R374">
            <v>13</v>
          </cell>
          <cell r="S374">
            <v>13</v>
          </cell>
          <cell r="T374">
            <v>13</v>
          </cell>
          <cell r="U374">
            <v>13</v>
          </cell>
          <cell r="V374">
            <v>13</v>
          </cell>
          <cell r="W374">
            <v>13</v>
          </cell>
          <cell r="X374">
            <v>13</v>
          </cell>
          <cell r="Y374"/>
          <cell r="Z374"/>
        </row>
        <row r="375">
          <cell r="A375"/>
          <cell r="O375" t="str">
            <v>Débit STD</v>
          </cell>
          <cell r="P375">
            <v>140</v>
          </cell>
          <cell r="Q375">
            <v>140</v>
          </cell>
          <cell r="R375">
            <v>140</v>
          </cell>
          <cell r="S375">
            <v>140</v>
          </cell>
          <cell r="T375">
            <v>140</v>
          </cell>
          <cell r="U375">
            <v>140</v>
          </cell>
          <cell r="V375">
            <v>140</v>
          </cell>
          <cell r="W375">
            <v>140</v>
          </cell>
          <cell r="X375">
            <v>140</v>
          </cell>
        </row>
        <row r="376">
          <cell r="A376"/>
          <cell r="R376"/>
          <cell r="S376"/>
          <cell r="T376"/>
          <cell r="U376"/>
          <cell r="V376"/>
          <cell r="W376"/>
          <cell r="X376"/>
          <cell r="Y376"/>
          <cell r="Z376"/>
        </row>
        <row r="377">
          <cell r="A377"/>
          <cell r="O377" t="str">
            <v>Débit PIF K &gt; F</v>
          </cell>
          <cell r="P377">
            <v>1820</v>
          </cell>
          <cell r="Q377">
            <v>1820</v>
          </cell>
          <cell r="R377">
            <v>1820</v>
          </cell>
          <cell r="S377">
            <v>1820</v>
          </cell>
          <cell r="T377">
            <v>1820</v>
          </cell>
          <cell r="U377">
            <v>1820</v>
          </cell>
          <cell r="V377">
            <v>1820</v>
          </cell>
          <cell r="W377">
            <v>1820</v>
          </cell>
          <cell r="X377">
            <v>1820</v>
          </cell>
          <cell r="Y377"/>
          <cell r="Z377"/>
        </row>
        <row r="378">
          <cell r="A378"/>
          <cell r="W378"/>
          <cell r="X378"/>
          <cell r="Y378"/>
          <cell r="Z378"/>
        </row>
        <row r="379">
          <cell r="A379"/>
        </row>
        <row r="380">
          <cell r="A380"/>
          <cell r="O380" t="str">
            <v>Gal K &gt; F - Surface PIF</v>
          </cell>
          <cell r="P380" t="str">
            <v>W22</v>
          </cell>
          <cell r="Q380" t="str">
            <v>S23</v>
          </cell>
          <cell r="R380" t="str">
            <v>W23</v>
          </cell>
          <cell r="S380" t="str">
            <v>S24</v>
          </cell>
          <cell r="T380" t="str">
            <v>W24</v>
          </cell>
          <cell r="U380" t="str">
            <v>S25</v>
          </cell>
          <cell r="V380" t="str">
            <v>W25</v>
          </cell>
          <cell r="W380" t="str">
            <v>S26</v>
          </cell>
          <cell r="X380" t="str">
            <v>W26</v>
          </cell>
          <cell r="Y380" t="str">
            <v>S27</v>
          </cell>
          <cell r="Z380" t="str">
            <v>W27</v>
          </cell>
        </row>
        <row r="381">
          <cell r="A381"/>
          <cell r="O381"/>
          <cell r="W381"/>
          <cell r="X381"/>
          <cell r="Y381"/>
          <cell r="Z381"/>
        </row>
        <row r="382">
          <cell r="A382"/>
          <cell r="O382" t="str">
            <v>SURFACE GLOBAL</v>
          </cell>
          <cell r="P382">
            <v>545</v>
          </cell>
          <cell r="Q382">
            <v>545</v>
          </cell>
          <cell r="R382">
            <v>545</v>
          </cell>
          <cell r="S382">
            <v>545</v>
          </cell>
          <cell r="T382">
            <v>545</v>
          </cell>
          <cell r="U382">
            <v>545</v>
          </cell>
          <cell r="V382">
            <v>545</v>
          </cell>
          <cell r="W382">
            <v>545</v>
          </cell>
          <cell r="X382">
            <v>545</v>
          </cell>
          <cell r="Y382"/>
          <cell r="Z382"/>
        </row>
        <row r="383">
          <cell r="A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</row>
        <row r="384">
          <cell r="A384"/>
          <cell r="O384" t="str">
            <v>Temps d'attente maximum (min)</v>
          </cell>
          <cell r="P384">
            <v>10</v>
          </cell>
          <cell r="Q384">
            <v>10</v>
          </cell>
          <cell r="R384">
            <v>10</v>
          </cell>
          <cell r="S384">
            <v>10</v>
          </cell>
          <cell r="T384">
            <v>10</v>
          </cell>
          <cell r="U384">
            <v>10</v>
          </cell>
          <cell r="V384">
            <v>10</v>
          </cell>
          <cell r="W384">
            <v>10</v>
          </cell>
          <cell r="X384">
            <v>10</v>
          </cell>
        </row>
        <row r="385">
          <cell r="A385"/>
          <cell r="O385" t="str">
            <v>Standard IATA C (m2/PAX)</v>
          </cell>
          <cell r="P385">
            <v>1</v>
          </cell>
          <cell r="Q385">
            <v>1</v>
          </cell>
          <cell r="R385">
            <v>1</v>
          </cell>
          <cell r="S385">
            <v>1</v>
          </cell>
          <cell r="T385">
            <v>1</v>
          </cell>
          <cell r="U385">
            <v>1</v>
          </cell>
          <cell r="V385">
            <v>1</v>
          </cell>
          <cell r="W385">
            <v>1</v>
          </cell>
          <cell r="X385">
            <v>1</v>
          </cell>
        </row>
        <row r="386">
          <cell r="A386"/>
          <cell r="O386"/>
        </row>
        <row r="387">
          <cell r="A387"/>
          <cell r="O387" t="str">
            <v>Attente PIF Gal K &gt; F</v>
          </cell>
          <cell r="P387">
            <v>3270</v>
          </cell>
          <cell r="Q387">
            <v>3270</v>
          </cell>
          <cell r="R387">
            <v>3270</v>
          </cell>
          <cell r="S387">
            <v>3270</v>
          </cell>
          <cell r="T387">
            <v>3270</v>
          </cell>
          <cell r="U387">
            <v>3270</v>
          </cell>
          <cell r="V387">
            <v>3270</v>
          </cell>
          <cell r="W387">
            <v>3270</v>
          </cell>
          <cell r="X387">
            <v>3270</v>
          </cell>
          <cell r="Y387"/>
          <cell r="Z387"/>
        </row>
        <row r="388">
          <cell r="A388"/>
          <cell r="W388"/>
          <cell r="X388"/>
          <cell r="Y388"/>
          <cell r="Z388"/>
        </row>
        <row r="389">
          <cell r="A389"/>
          <cell r="W389"/>
          <cell r="X389"/>
          <cell r="Y389"/>
          <cell r="Z389"/>
        </row>
        <row r="390">
          <cell r="A390"/>
          <cell r="W390"/>
          <cell r="X390"/>
          <cell r="Y390"/>
          <cell r="Z390"/>
        </row>
        <row r="391">
          <cell r="A391"/>
          <cell r="W391"/>
          <cell r="X391"/>
          <cell r="Y391"/>
          <cell r="Z391"/>
        </row>
        <row r="392">
          <cell r="A392"/>
          <cell r="W392"/>
          <cell r="X392"/>
          <cell r="Y392"/>
          <cell r="Z392"/>
        </row>
        <row r="393">
          <cell r="A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</row>
        <row r="394">
          <cell r="A394"/>
        </row>
        <row r="396">
          <cell r="A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</row>
        <row r="399">
          <cell r="A399" t="str">
            <v>Embarquement</v>
          </cell>
        </row>
        <row r="400">
          <cell r="A400"/>
          <cell r="N400" t="str">
            <v>T2E - Circuits embarquements NET</v>
          </cell>
          <cell r="O400"/>
          <cell r="P400" t="str">
            <v>W22</v>
          </cell>
          <cell r="Q400" t="str">
            <v>S23</v>
          </cell>
          <cell r="R400" t="str">
            <v>W23</v>
          </cell>
          <cell r="S400" t="str">
            <v>S24</v>
          </cell>
          <cell r="T400" t="str">
            <v>W24</v>
          </cell>
          <cell r="U400" t="str">
            <v>S25</v>
          </cell>
          <cell r="V400" t="str">
            <v>W25</v>
          </cell>
          <cell r="W400" t="str">
            <v>S26</v>
          </cell>
          <cell r="X400" t="str">
            <v>W26</v>
          </cell>
          <cell r="Y400" t="str">
            <v>S27</v>
          </cell>
          <cell r="Z400" t="str">
            <v>W27</v>
          </cell>
        </row>
        <row r="401">
          <cell r="A401"/>
          <cell r="N401" t="str">
            <v>T2E - Hall K contact</v>
          </cell>
          <cell r="O401" t="str">
            <v>A/B</v>
          </cell>
          <cell r="P401"/>
          <cell r="Q401"/>
          <cell r="R401"/>
          <cell r="S401"/>
          <cell r="T401"/>
          <cell r="U401"/>
          <cell r="V401"/>
        </row>
        <row r="402">
          <cell r="A402"/>
          <cell r="N402"/>
          <cell r="O402" t="str">
            <v>C</v>
          </cell>
          <cell r="P402">
            <v>4</v>
          </cell>
          <cell r="Q402">
            <v>4</v>
          </cell>
          <cell r="R402">
            <v>4</v>
          </cell>
          <cell r="S402">
            <v>4</v>
          </cell>
          <cell r="T402">
            <v>4</v>
          </cell>
          <cell r="U402">
            <v>4</v>
          </cell>
          <cell r="V402">
            <v>4</v>
          </cell>
          <cell r="W402">
            <v>1</v>
          </cell>
        </row>
        <row r="403">
          <cell r="A403"/>
          <cell r="N403"/>
          <cell r="O403" t="str">
            <v>D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</row>
        <row r="404">
          <cell r="A404"/>
          <cell r="N404"/>
          <cell r="O404" t="str">
            <v>E</v>
          </cell>
          <cell r="P404">
            <v>9</v>
          </cell>
          <cell r="Q404">
            <v>9</v>
          </cell>
          <cell r="R404">
            <v>9</v>
          </cell>
          <cell r="S404">
            <v>9</v>
          </cell>
          <cell r="T404">
            <v>9</v>
          </cell>
          <cell r="U404">
            <v>9</v>
          </cell>
          <cell r="V404">
            <v>9</v>
          </cell>
          <cell r="W404">
            <v>9</v>
          </cell>
        </row>
        <row r="405">
          <cell r="A405"/>
          <cell r="N405"/>
          <cell r="O405" t="str">
            <v>F</v>
          </cell>
          <cell r="P405"/>
          <cell r="Q405"/>
          <cell r="R405"/>
          <cell r="S405"/>
          <cell r="T405"/>
          <cell r="U405"/>
          <cell r="V405"/>
          <cell r="W405"/>
        </row>
        <row r="406">
          <cell r="A406"/>
          <cell r="N406" t="str">
            <v>T2E - S3 contact</v>
          </cell>
          <cell r="O406" t="str">
            <v>A/B</v>
          </cell>
          <cell r="P406"/>
          <cell r="Q406"/>
          <cell r="R406"/>
          <cell r="S406"/>
          <cell r="T406"/>
          <cell r="U406"/>
          <cell r="V406"/>
          <cell r="W406"/>
        </row>
        <row r="407">
          <cell r="A407"/>
          <cell r="N407"/>
          <cell r="O407" t="str">
            <v>C</v>
          </cell>
          <cell r="P407">
            <v>6</v>
          </cell>
          <cell r="Q407">
            <v>6</v>
          </cell>
          <cell r="R407">
            <v>6</v>
          </cell>
          <cell r="S407">
            <v>6</v>
          </cell>
          <cell r="T407">
            <v>6</v>
          </cell>
          <cell r="U407">
            <v>6</v>
          </cell>
          <cell r="V407">
            <v>6</v>
          </cell>
          <cell r="W407">
            <v>6</v>
          </cell>
        </row>
        <row r="408">
          <cell r="A408"/>
          <cell r="N408"/>
          <cell r="O408" t="str">
            <v>D</v>
          </cell>
          <cell r="P408"/>
          <cell r="Q408"/>
          <cell r="R408"/>
          <cell r="S408"/>
          <cell r="T408"/>
          <cell r="U408"/>
          <cell r="V408"/>
          <cell r="W408"/>
        </row>
        <row r="409">
          <cell r="A409"/>
          <cell r="N409"/>
          <cell r="O409" t="str">
            <v>E</v>
          </cell>
          <cell r="P409">
            <v>9</v>
          </cell>
          <cell r="Q409">
            <v>9</v>
          </cell>
          <cell r="R409">
            <v>9</v>
          </cell>
          <cell r="S409">
            <v>9</v>
          </cell>
          <cell r="T409">
            <v>9</v>
          </cell>
          <cell r="U409">
            <v>9</v>
          </cell>
          <cell r="V409">
            <v>9</v>
          </cell>
          <cell r="W409">
            <v>9</v>
          </cell>
        </row>
        <row r="410">
          <cell r="A410"/>
          <cell r="N410"/>
          <cell r="O410" t="str">
            <v>F</v>
          </cell>
          <cell r="P410">
            <v>3</v>
          </cell>
          <cell r="Q410">
            <v>3</v>
          </cell>
          <cell r="R410">
            <v>3</v>
          </cell>
          <cell r="S410">
            <v>3</v>
          </cell>
          <cell r="T410">
            <v>3</v>
          </cell>
          <cell r="U410">
            <v>3</v>
          </cell>
          <cell r="V410">
            <v>3</v>
          </cell>
          <cell r="W410">
            <v>3</v>
          </cell>
        </row>
        <row r="411">
          <cell r="A411"/>
          <cell r="N411" t="str">
            <v>T2E - S4 contact</v>
          </cell>
          <cell r="O411" t="str">
            <v>A/B</v>
          </cell>
          <cell r="P411"/>
          <cell r="Q411"/>
          <cell r="R411"/>
          <cell r="S411"/>
          <cell r="T411"/>
          <cell r="U411"/>
          <cell r="V411"/>
          <cell r="W411"/>
        </row>
        <row r="412">
          <cell r="A412"/>
          <cell r="N412"/>
          <cell r="O412" t="str">
            <v>C</v>
          </cell>
          <cell r="P412"/>
          <cell r="Q412"/>
          <cell r="R412"/>
          <cell r="S412"/>
          <cell r="T412"/>
          <cell r="U412"/>
          <cell r="V412"/>
          <cell r="W412"/>
        </row>
        <row r="413">
          <cell r="A413"/>
          <cell r="N413"/>
          <cell r="O413" t="str">
            <v>D</v>
          </cell>
          <cell r="P413"/>
          <cell r="Q413"/>
          <cell r="R413"/>
          <cell r="S413"/>
          <cell r="T413"/>
          <cell r="U413"/>
          <cell r="V413"/>
          <cell r="W413"/>
        </row>
        <row r="414">
          <cell r="A414"/>
          <cell r="N414"/>
          <cell r="O414" t="str">
            <v>E</v>
          </cell>
          <cell r="P414">
            <v>9</v>
          </cell>
          <cell r="Q414">
            <v>9</v>
          </cell>
          <cell r="R414">
            <v>9</v>
          </cell>
          <cell r="S414">
            <v>9</v>
          </cell>
          <cell r="T414">
            <v>10</v>
          </cell>
          <cell r="U414">
            <v>10</v>
          </cell>
          <cell r="V414">
            <v>10</v>
          </cell>
          <cell r="W414">
            <v>10</v>
          </cell>
        </row>
        <row r="415">
          <cell r="A415"/>
          <cell r="N415"/>
          <cell r="O415" t="str">
            <v>F</v>
          </cell>
          <cell r="P415">
            <v>7</v>
          </cell>
          <cell r="Q415">
            <v>7</v>
          </cell>
          <cell r="R415">
            <v>7</v>
          </cell>
          <cell r="S415">
            <v>7</v>
          </cell>
          <cell r="T415">
            <v>6</v>
          </cell>
          <cell r="U415">
            <v>6</v>
          </cell>
          <cell r="V415">
            <v>6</v>
          </cell>
          <cell r="W415">
            <v>6</v>
          </cell>
        </row>
        <row r="416">
          <cell r="A416"/>
          <cell r="N416" t="str">
            <v>T2E contact</v>
          </cell>
          <cell r="O416"/>
          <cell r="P416">
            <v>48</v>
          </cell>
          <cell r="Q416">
            <v>48</v>
          </cell>
          <cell r="R416">
            <v>48</v>
          </cell>
          <cell r="S416">
            <v>48</v>
          </cell>
          <cell r="T416">
            <v>48</v>
          </cell>
          <cell r="U416">
            <v>48</v>
          </cell>
          <cell r="V416">
            <v>48</v>
          </cell>
          <cell r="W416">
            <v>45</v>
          </cell>
        </row>
        <row r="417">
          <cell r="A417"/>
          <cell r="O417"/>
        </row>
        <row r="418">
          <cell r="A418"/>
          <cell r="N418" t="str">
            <v>T2E - Hall K large</v>
          </cell>
          <cell r="O418" t="str">
            <v>A/B</v>
          </cell>
          <cell r="P418"/>
          <cell r="Q418"/>
          <cell r="R418"/>
          <cell r="S418"/>
          <cell r="T418"/>
          <cell r="U418"/>
          <cell r="V418"/>
          <cell r="W418"/>
        </row>
        <row r="419">
          <cell r="A419"/>
          <cell r="N419"/>
          <cell r="O419" t="str">
            <v>C</v>
          </cell>
          <cell r="P419">
            <v>6</v>
          </cell>
          <cell r="Q419">
            <v>6</v>
          </cell>
          <cell r="R419">
            <v>6</v>
          </cell>
          <cell r="S419">
            <v>6</v>
          </cell>
          <cell r="T419">
            <v>6</v>
          </cell>
          <cell r="U419">
            <v>6</v>
          </cell>
          <cell r="V419">
            <v>6</v>
          </cell>
          <cell r="W419">
            <v>6</v>
          </cell>
        </row>
        <row r="420">
          <cell r="A420"/>
          <cell r="N420"/>
          <cell r="O420" t="str">
            <v>D</v>
          </cell>
          <cell r="P420"/>
          <cell r="Q420"/>
          <cell r="R420"/>
          <cell r="S420"/>
          <cell r="T420"/>
          <cell r="U420"/>
          <cell r="V420"/>
          <cell r="W420"/>
        </row>
        <row r="421">
          <cell r="A421"/>
          <cell r="N421"/>
          <cell r="O421" t="str">
            <v>E</v>
          </cell>
          <cell r="P421">
            <v>5</v>
          </cell>
          <cell r="Q421">
            <v>5</v>
          </cell>
          <cell r="R421">
            <v>5</v>
          </cell>
          <cell r="S421">
            <v>5</v>
          </cell>
          <cell r="T421">
            <v>5</v>
          </cell>
          <cell r="U421">
            <v>6</v>
          </cell>
          <cell r="V421">
            <v>7</v>
          </cell>
          <cell r="W421">
            <v>8</v>
          </cell>
        </row>
        <row r="422">
          <cell r="A422"/>
          <cell r="N422"/>
          <cell r="O422" t="str">
            <v>F</v>
          </cell>
          <cell r="P422"/>
          <cell r="Q422"/>
          <cell r="R422"/>
          <cell r="S422"/>
          <cell r="T422"/>
          <cell r="U422"/>
          <cell r="V422"/>
          <cell r="W422"/>
        </row>
        <row r="423">
          <cell r="A423"/>
          <cell r="N423" t="str">
            <v>T2E - S3 large</v>
          </cell>
          <cell r="O423" t="str">
            <v>A/B</v>
          </cell>
          <cell r="P423"/>
          <cell r="Q423"/>
          <cell r="R423"/>
          <cell r="S423"/>
          <cell r="T423"/>
          <cell r="U423"/>
          <cell r="V423"/>
          <cell r="W423"/>
        </row>
        <row r="424">
          <cell r="A424"/>
          <cell r="N424"/>
          <cell r="O424" t="str">
            <v>C</v>
          </cell>
          <cell r="P424"/>
          <cell r="Q424"/>
          <cell r="R424"/>
          <cell r="S424"/>
          <cell r="T424"/>
          <cell r="U424"/>
          <cell r="V424"/>
          <cell r="W424"/>
        </row>
        <row r="425">
          <cell r="A425"/>
          <cell r="N425"/>
          <cell r="O425" t="str">
            <v>D</v>
          </cell>
          <cell r="P425"/>
          <cell r="Q425"/>
          <cell r="R425"/>
          <cell r="S425"/>
          <cell r="T425"/>
          <cell r="U425"/>
          <cell r="V425"/>
          <cell r="W425"/>
        </row>
        <row r="426">
          <cell r="A426"/>
          <cell r="N426"/>
          <cell r="O426" t="str">
            <v>E</v>
          </cell>
          <cell r="P426"/>
          <cell r="Q426"/>
          <cell r="R426"/>
          <cell r="S426"/>
          <cell r="T426"/>
          <cell r="U426"/>
          <cell r="V426"/>
          <cell r="W426"/>
        </row>
        <row r="427">
          <cell r="A427"/>
          <cell r="N427"/>
          <cell r="O427" t="str">
            <v>F</v>
          </cell>
          <cell r="P427"/>
          <cell r="Q427"/>
          <cell r="R427"/>
          <cell r="S427"/>
          <cell r="T427"/>
          <cell r="U427"/>
          <cell r="V427"/>
          <cell r="W427"/>
        </row>
        <row r="428">
          <cell r="A428"/>
          <cell r="N428" t="str">
            <v>T2E - S4 large</v>
          </cell>
          <cell r="O428" t="str">
            <v>A/B</v>
          </cell>
          <cell r="P428"/>
          <cell r="Q428"/>
          <cell r="R428"/>
          <cell r="S428"/>
          <cell r="T428"/>
          <cell r="U428"/>
          <cell r="V428"/>
          <cell r="W428"/>
        </row>
        <row r="429">
          <cell r="A429"/>
          <cell r="N429"/>
          <cell r="O429" t="str">
            <v>C</v>
          </cell>
          <cell r="P429"/>
          <cell r="Q429"/>
          <cell r="R429"/>
          <cell r="S429"/>
          <cell r="T429"/>
          <cell r="U429"/>
          <cell r="V429"/>
          <cell r="W429"/>
        </row>
        <row r="430">
          <cell r="A430"/>
          <cell r="N430"/>
          <cell r="O430" t="str">
            <v>D</v>
          </cell>
          <cell r="P430"/>
          <cell r="Q430"/>
          <cell r="R430"/>
          <cell r="S430"/>
          <cell r="T430"/>
          <cell r="U430"/>
          <cell r="V430"/>
          <cell r="W430"/>
        </row>
        <row r="431">
          <cell r="A431"/>
          <cell r="N431"/>
          <cell r="O431" t="str">
            <v>E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</row>
        <row r="432">
          <cell r="A432"/>
          <cell r="N432"/>
          <cell r="O432" t="str">
            <v>F</v>
          </cell>
          <cell r="P432"/>
          <cell r="Q432"/>
          <cell r="R432"/>
          <cell r="S432"/>
          <cell r="T432"/>
          <cell r="U432"/>
          <cell r="V432"/>
          <cell r="W432"/>
        </row>
        <row r="433">
          <cell r="A433"/>
          <cell r="N433" t="str">
            <v>T2E large</v>
          </cell>
          <cell r="O433"/>
          <cell r="P433">
            <v>12</v>
          </cell>
          <cell r="Q433">
            <v>12</v>
          </cell>
          <cell r="R433">
            <v>12</v>
          </cell>
          <cell r="S433">
            <v>12</v>
          </cell>
          <cell r="T433">
            <v>12</v>
          </cell>
          <cell r="U433">
            <v>13</v>
          </cell>
          <cell r="V433">
            <v>14</v>
          </cell>
          <cell r="W433">
            <v>15</v>
          </cell>
        </row>
        <row r="434">
          <cell r="A434"/>
          <cell r="O434"/>
        </row>
        <row r="435">
          <cell r="A435"/>
          <cell r="O435"/>
        </row>
        <row r="436">
          <cell r="A436"/>
          <cell r="K436" t="str">
            <v>Offre siège porteur</v>
          </cell>
          <cell r="L436"/>
          <cell r="O436"/>
          <cell r="P436"/>
          <cell r="Q436"/>
          <cell r="R436"/>
          <cell r="S436"/>
          <cell r="T436"/>
          <cell r="U436"/>
          <cell r="V436"/>
          <cell r="W436"/>
        </row>
        <row r="437">
          <cell r="A437"/>
          <cell r="K437" t="str">
            <v>A/B</v>
          </cell>
          <cell r="L437">
            <v>80</v>
          </cell>
          <cell r="O437" t="str">
            <v>Débit EMB</v>
          </cell>
          <cell r="P437">
            <v>17940</v>
          </cell>
          <cell r="Q437">
            <v>17940</v>
          </cell>
          <cell r="R437">
            <v>17940</v>
          </cell>
          <cell r="S437">
            <v>17940</v>
          </cell>
          <cell r="T437">
            <v>17835</v>
          </cell>
          <cell r="U437">
            <v>18155</v>
          </cell>
          <cell r="V437">
            <v>18475</v>
          </cell>
          <cell r="W437">
            <v>18255</v>
          </cell>
        </row>
        <row r="438">
          <cell r="A438"/>
          <cell r="K438" t="str">
            <v>C</v>
          </cell>
          <cell r="L438">
            <v>180</v>
          </cell>
          <cell r="O438"/>
        </row>
        <row r="439">
          <cell r="A439"/>
          <cell r="K439" t="str">
            <v>D</v>
          </cell>
          <cell r="L439">
            <v>250</v>
          </cell>
          <cell r="O439"/>
          <cell r="P439"/>
          <cell r="Q439"/>
          <cell r="R439"/>
          <cell r="S439"/>
          <cell r="T439"/>
          <cell r="U439"/>
          <cell r="V439"/>
        </row>
        <row r="440">
          <cell r="A440"/>
          <cell r="K440" t="str">
            <v>E</v>
          </cell>
          <cell r="L440">
            <v>320</v>
          </cell>
          <cell r="O440"/>
          <cell r="P440"/>
          <cell r="Q440"/>
          <cell r="R440"/>
          <cell r="S440"/>
          <cell r="T440"/>
          <cell r="U440"/>
          <cell r="V440"/>
        </row>
        <row r="441">
          <cell r="A441"/>
          <cell r="K441" t="str">
            <v>F</v>
          </cell>
          <cell r="L441">
            <v>500</v>
          </cell>
          <cell r="O441"/>
          <cell r="P441"/>
          <cell r="Q441"/>
          <cell r="R441"/>
          <cell r="S441"/>
          <cell r="T441"/>
          <cell r="U441"/>
          <cell r="V441"/>
        </row>
        <row r="442">
          <cell r="A442"/>
          <cell r="O442"/>
          <cell r="P442"/>
          <cell r="Q442"/>
          <cell r="R442"/>
          <cell r="S442"/>
          <cell r="T442"/>
          <cell r="U442"/>
          <cell r="V442"/>
        </row>
        <row r="443">
          <cell r="A443"/>
          <cell r="K443" t="str">
            <v>Taux de remplissage</v>
          </cell>
          <cell r="L443"/>
          <cell r="O443"/>
        </row>
        <row r="444">
          <cell r="A444"/>
          <cell r="K444">
            <v>0.85</v>
          </cell>
          <cell r="L444"/>
          <cell r="M444"/>
          <cell r="O444"/>
        </row>
        <row r="445">
          <cell r="A445"/>
          <cell r="K445"/>
          <cell r="L445"/>
          <cell r="M445"/>
          <cell r="O445"/>
        </row>
        <row r="446">
          <cell r="A446"/>
          <cell r="K446"/>
          <cell r="L446"/>
          <cell r="M446"/>
          <cell r="O446"/>
        </row>
        <row r="447">
          <cell r="A447"/>
          <cell r="K447"/>
          <cell r="L447"/>
          <cell r="M447"/>
          <cell r="O447"/>
        </row>
        <row r="448">
          <cell r="A448"/>
        </row>
        <row r="449">
          <cell r="A449"/>
        </row>
        <row r="450">
          <cell r="A450"/>
          <cell r="O450" t="str">
            <v>T2E - Embarquement Hall K Contact</v>
          </cell>
          <cell r="P450" t="str">
            <v>W22</v>
          </cell>
          <cell r="Q450" t="str">
            <v>S23</v>
          </cell>
          <cell r="R450" t="str">
            <v>W23</v>
          </cell>
          <cell r="S450" t="str">
            <v>S24</v>
          </cell>
          <cell r="T450" t="str">
            <v>W24</v>
          </cell>
          <cell r="U450" t="str">
            <v>S25</v>
          </cell>
          <cell r="V450" t="str">
            <v>W25</v>
          </cell>
          <cell r="W450" t="str">
            <v>S26</v>
          </cell>
          <cell r="X450" t="str">
            <v>W26</v>
          </cell>
          <cell r="Y450" t="str">
            <v>S27</v>
          </cell>
          <cell r="Z450" t="str">
            <v>W27</v>
          </cell>
        </row>
        <row r="451">
          <cell r="A451"/>
          <cell r="R451"/>
          <cell r="S451"/>
          <cell r="T451"/>
          <cell r="U451"/>
          <cell r="V451"/>
        </row>
        <row r="452">
          <cell r="A452"/>
          <cell r="O452" t="str">
            <v>Surface d'attente utile (m2)</v>
          </cell>
          <cell r="P452">
            <v>10723</v>
          </cell>
          <cell r="Q452">
            <v>10723</v>
          </cell>
          <cell r="R452">
            <v>10723</v>
          </cell>
          <cell r="S452">
            <v>10723</v>
          </cell>
          <cell r="T452">
            <v>10723</v>
          </cell>
          <cell r="U452">
            <v>10723</v>
          </cell>
          <cell r="V452"/>
        </row>
        <row r="453">
          <cell r="A453"/>
          <cell r="O453" t="str">
            <v>Temps moyen d'occupation (min)</v>
          </cell>
          <cell r="P453">
            <v>100</v>
          </cell>
          <cell r="Q453">
            <v>100</v>
          </cell>
          <cell r="R453">
            <v>100</v>
          </cell>
          <cell r="S453">
            <v>100</v>
          </cell>
          <cell r="T453">
            <v>100</v>
          </cell>
          <cell r="U453">
            <v>100</v>
          </cell>
        </row>
        <row r="454">
          <cell r="A454"/>
          <cell r="O454" t="str">
            <v>Standard IATA (m2/PAX)</v>
          </cell>
          <cell r="P454">
            <v>1</v>
          </cell>
          <cell r="Q454">
            <v>1</v>
          </cell>
          <cell r="R454">
            <v>1</v>
          </cell>
          <cell r="S454">
            <v>1</v>
          </cell>
          <cell r="T454">
            <v>1</v>
          </cell>
          <cell r="U454">
            <v>1</v>
          </cell>
        </row>
        <row r="455">
          <cell r="A455"/>
          <cell r="O455" t="str">
            <v>Taux d'occupation MAX IATA</v>
          </cell>
          <cell r="P455">
            <v>0.65</v>
          </cell>
          <cell r="Q455">
            <v>0.65</v>
          </cell>
          <cell r="R455">
            <v>0.65</v>
          </cell>
          <cell r="S455">
            <v>0.65</v>
          </cell>
          <cell r="T455">
            <v>0.65</v>
          </cell>
          <cell r="U455">
            <v>0.65</v>
          </cell>
        </row>
        <row r="456">
          <cell r="A456"/>
        </row>
        <row r="457">
          <cell r="A457"/>
          <cell r="O457" t="str">
            <v>Attente EMB Hall K Contact</v>
          </cell>
          <cell r="P457">
            <v>4181.97</v>
          </cell>
          <cell r="Q457">
            <v>4181.97</v>
          </cell>
          <cell r="R457">
            <v>4181.97</v>
          </cell>
          <cell r="S457">
            <v>4181.97</v>
          </cell>
          <cell r="T457">
            <v>4181.97</v>
          </cell>
          <cell r="U457">
            <v>4181.97</v>
          </cell>
          <cell r="V457"/>
        </row>
        <row r="458">
          <cell r="A458"/>
        </row>
        <row r="459">
          <cell r="A459"/>
        </row>
        <row r="460">
          <cell r="A460"/>
          <cell r="W460"/>
          <cell r="X460"/>
          <cell r="Y460"/>
          <cell r="Z460"/>
        </row>
        <row r="461">
          <cell r="A461"/>
          <cell r="O461" t="str">
            <v>T2E - Embarquement Hall K Large EST</v>
          </cell>
          <cell r="P461" t="str">
            <v>W22</v>
          </cell>
          <cell r="Q461" t="str">
            <v>S23</v>
          </cell>
          <cell r="R461" t="str">
            <v>W23</v>
          </cell>
          <cell r="S461" t="str">
            <v>S24</v>
          </cell>
          <cell r="T461" t="str">
            <v>W24</v>
          </cell>
          <cell r="U461" t="str">
            <v>S25</v>
          </cell>
          <cell r="V461" t="str">
            <v>W25</v>
          </cell>
          <cell r="W461" t="str">
            <v>S26</v>
          </cell>
          <cell r="X461" t="str">
            <v>W26</v>
          </cell>
          <cell r="Y461" t="str">
            <v>S27</v>
          </cell>
          <cell r="Z461" t="str">
            <v>W27</v>
          </cell>
        </row>
        <row r="462">
          <cell r="A462"/>
          <cell r="R462"/>
          <cell r="S462"/>
          <cell r="T462"/>
          <cell r="U462"/>
          <cell r="V462"/>
          <cell r="W462"/>
          <cell r="X462"/>
          <cell r="Y462"/>
          <cell r="Z462"/>
        </row>
        <row r="463">
          <cell r="A463"/>
          <cell r="O463" t="str">
            <v>Surface d'attente utile (m2)</v>
          </cell>
          <cell r="P463">
            <v>720</v>
          </cell>
          <cell r="Q463">
            <v>720</v>
          </cell>
          <cell r="R463">
            <v>720</v>
          </cell>
          <cell r="S463">
            <v>720</v>
          </cell>
          <cell r="T463">
            <v>720</v>
          </cell>
          <cell r="U463">
            <v>720</v>
          </cell>
          <cell r="V463"/>
          <cell r="W463"/>
          <cell r="X463"/>
          <cell r="Y463"/>
          <cell r="Z463"/>
        </row>
        <row r="464">
          <cell r="A464"/>
          <cell r="O464" t="str">
            <v>Temps moyen d'occupation (min)</v>
          </cell>
          <cell r="P464">
            <v>100</v>
          </cell>
          <cell r="Q464">
            <v>100</v>
          </cell>
          <cell r="R464">
            <v>100</v>
          </cell>
          <cell r="S464">
            <v>100</v>
          </cell>
          <cell r="T464">
            <v>100</v>
          </cell>
          <cell r="U464">
            <v>100</v>
          </cell>
          <cell r="W464"/>
          <cell r="X464"/>
          <cell r="Y464"/>
          <cell r="Z464"/>
        </row>
        <row r="465">
          <cell r="A465"/>
          <cell r="O465" t="str">
            <v>Standard IATA (m2/PAX)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  <cell r="W465"/>
          <cell r="X465"/>
          <cell r="Y465"/>
          <cell r="Z465"/>
        </row>
        <row r="466">
          <cell r="A466"/>
          <cell r="O466" t="str">
            <v>Taux d'occupation MAX IATA</v>
          </cell>
          <cell r="P466">
            <v>0.65</v>
          </cell>
          <cell r="Q466">
            <v>0.65</v>
          </cell>
          <cell r="R466">
            <v>0.65</v>
          </cell>
          <cell r="S466">
            <v>0.65</v>
          </cell>
          <cell r="T466">
            <v>0.65</v>
          </cell>
          <cell r="U466">
            <v>0.65</v>
          </cell>
          <cell r="W466"/>
          <cell r="X466"/>
          <cell r="Y466"/>
          <cell r="Z466"/>
        </row>
        <row r="467">
          <cell r="A467"/>
          <cell r="W467"/>
          <cell r="X467"/>
          <cell r="Y467"/>
          <cell r="Z467"/>
        </row>
        <row r="468">
          <cell r="A468"/>
          <cell r="O468" t="str">
            <v>Attente EMB Hall K Large EST</v>
          </cell>
          <cell r="P468">
            <v>280.8</v>
          </cell>
          <cell r="Q468">
            <v>280.8</v>
          </cell>
          <cell r="R468">
            <v>280.8</v>
          </cell>
          <cell r="S468">
            <v>280.8</v>
          </cell>
          <cell r="T468">
            <v>280.8</v>
          </cell>
          <cell r="U468">
            <v>280.8</v>
          </cell>
          <cell r="V468"/>
          <cell r="W468"/>
          <cell r="X468"/>
          <cell r="Y468"/>
          <cell r="Z468"/>
        </row>
        <row r="469">
          <cell r="A469"/>
          <cell r="W469"/>
          <cell r="X469"/>
          <cell r="Y469"/>
          <cell r="Z469"/>
        </row>
        <row r="470">
          <cell r="A470"/>
          <cell r="W470"/>
          <cell r="X470"/>
          <cell r="Y470"/>
          <cell r="Z470"/>
        </row>
        <row r="471">
          <cell r="A471"/>
          <cell r="W471"/>
          <cell r="X471"/>
          <cell r="Y471"/>
          <cell r="Z471"/>
        </row>
        <row r="472">
          <cell r="A472"/>
          <cell r="O472" t="str">
            <v>T2E - Embarquement Hall K Large OUEST</v>
          </cell>
          <cell r="P472" t="str">
            <v>W22</v>
          </cell>
          <cell r="Q472" t="str">
            <v>S23</v>
          </cell>
          <cell r="R472" t="str">
            <v>W23</v>
          </cell>
          <cell r="S472" t="str">
            <v>S24</v>
          </cell>
          <cell r="T472" t="str">
            <v>W24</v>
          </cell>
          <cell r="U472" t="str">
            <v>S25</v>
          </cell>
          <cell r="V472" t="str">
            <v>W25</v>
          </cell>
          <cell r="W472" t="str">
            <v>S26</v>
          </cell>
          <cell r="X472" t="str">
            <v>W26</v>
          </cell>
          <cell r="Y472" t="str">
            <v>S27</v>
          </cell>
          <cell r="Z472" t="str">
            <v>W27</v>
          </cell>
        </row>
        <row r="473">
          <cell r="A473"/>
          <cell r="R473"/>
          <cell r="S473"/>
          <cell r="T473"/>
          <cell r="U473"/>
          <cell r="V473"/>
          <cell r="W473"/>
          <cell r="X473"/>
          <cell r="Y473"/>
          <cell r="Z473"/>
        </row>
        <row r="474">
          <cell r="A474"/>
          <cell r="O474" t="str">
            <v>Surface d'attente utile (m2)</v>
          </cell>
          <cell r="P474">
            <v>1601</v>
          </cell>
          <cell r="Q474">
            <v>1601</v>
          </cell>
          <cell r="R474">
            <v>1601</v>
          </cell>
          <cell r="S474">
            <v>1601</v>
          </cell>
          <cell r="T474">
            <v>1601</v>
          </cell>
          <cell r="U474">
            <v>1601</v>
          </cell>
          <cell r="V474"/>
          <cell r="W474"/>
          <cell r="X474"/>
          <cell r="Y474"/>
          <cell r="Z474"/>
        </row>
        <row r="475">
          <cell r="A475"/>
          <cell r="O475" t="str">
            <v>Temps moyen d'occupation (min)</v>
          </cell>
          <cell r="P475">
            <v>100</v>
          </cell>
          <cell r="Q475">
            <v>100</v>
          </cell>
          <cell r="R475">
            <v>100</v>
          </cell>
          <cell r="S475">
            <v>100</v>
          </cell>
          <cell r="T475">
            <v>100</v>
          </cell>
          <cell r="U475">
            <v>100</v>
          </cell>
          <cell r="W475"/>
          <cell r="X475"/>
          <cell r="Y475"/>
          <cell r="Z475"/>
        </row>
        <row r="476">
          <cell r="A476"/>
          <cell r="O476" t="str">
            <v>Standard IATA (m2/PAX)</v>
          </cell>
          <cell r="P476">
            <v>1</v>
          </cell>
          <cell r="Q476">
            <v>1</v>
          </cell>
          <cell r="R476">
            <v>1</v>
          </cell>
          <cell r="S476">
            <v>1</v>
          </cell>
          <cell r="T476">
            <v>1</v>
          </cell>
          <cell r="U476">
            <v>1</v>
          </cell>
          <cell r="W476"/>
          <cell r="X476"/>
          <cell r="Y476"/>
          <cell r="Z476"/>
        </row>
        <row r="477">
          <cell r="A477"/>
          <cell r="O477" t="str">
            <v>Taux d'occupation MAX IATA</v>
          </cell>
          <cell r="P477">
            <v>0.65</v>
          </cell>
          <cell r="Q477">
            <v>0.65</v>
          </cell>
          <cell r="R477">
            <v>0.65</v>
          </cell>
          <cell r="S477">
            <v>0.65</v>
          </cell>
          <cell r="T477">
            <v>0.65</v>
          </cell>
          <cell r="U477">
            <v>0.65</v>
          </cell>
          <cell r="W477"/>
          <cell r="X477"/>
          <cell r="Y477"/>
          <cell r="Z477"/>
        </row>
        <row r="478">
          <cell r="A478"/>
          <cell r="W478"/>
          <cell r="X478"/>
          <cell r="Y478"/>
          <cell r="Z478"/>
        </row>
        <row r="479">
          <cell r="A479"/>
          <cell r="O479" t="str">
            <v>Attente EMB Hall K Large OUEST</v>
          </cell>
          <cell r="P479">
            <v>624.39</v>
          </cell>
          <cell r="Q479">
            <v>624.39</v>
          </cell>
          <cell r="R479">
            <v>624.39</v>
          </cell>
          <cell r="S479">
            <v>624.39</v>
          </cell>
          <cell r="T479">
            <v>624.39</v>
          </cell>
          <cell r="U479">
            <v>624.39</v>
          </cell>
          <cell r="V479"/>
          <cell r="W479"/>
          <cell r="X479"/>
          <cell r="Y479"/>
          <cell r="Z479"/>
        </row>
        <row r="480">
          <cell r="A480"/>
          <cell r="W480"/>
          <cell r="X480"/>
          <cell r="Y480"/>
          <cell r="Z480"/>
        </row>
        <row r="481">
          <cell r="A481"/>
          <cell r="W481"/>
          <cell r="X481"/>
          <cell r="Y481"/>
          <cell r="Z481"/>
        </row>
        <row r="482">
          <cell r="A482"/>
          <cell r="O482"/>
          <cell r="W482"/>
          <cell r="X482"/>
          <cell r="Y482"/>
          <cell r="Z482"/>
        </row>
        <row r="483">
          <cell r="A483"/>
          <cell r="O483" t="str">
            <v>T2E - Embarquement Hall L</v>
          </cell>
          <cell r="P483" t="str">
            <v>W22</v>
          </cell>
          <cell r="Q483" t="str">
            <v>S23</v>
          </cell>
          <cell r="R483" t="str">
            <v>W23</v>
          </cell>
          <cell r="S483" t="str">
            <v>S24</v>
          </cell>
          <cell r="T483" t="str">
            <v>W24</v>
          </cell>
          <cell r="U483" t="str">
            <v>S25</v>
          </cell>
          <cell r="V483" t="str">
            <v>W25</v>
          </cell>
          <cell r="W483" t="str">
            <v>S26</v>
          </cell>
          <cell r="X483" t="str">
            <v>W26</v>
          </cell>
          <cell r="Y483" t="str">
            <v>S27</v>
          </cell>
          <cell r="Z483" t="str">
            <v>W27</v>
          </cell>
        </row>
        <row r="484">
          <cell r="A484"/>
          <cell r="R484"/>
          <cell r="S484"/>
          <cell r="T484"/>
          <cell r="U484"/>
          <cell r="V484"/>
          <cell r="W484"/>
          <cell r="X484"/>
          <cell r="Y484"/>
          <cell r="Z484"/>
        </row>
        <row r="485">
          <cell r="A485"/>
          <cell r="O485" t="str">
            <v>Surface d'attente utile (m2)</v>
          </cell>
          <cell r="P485">
            <v>13537</v>
          </cell>
          <cell r="Q485">
            <v>13537</v>
          </cell>
          <cell r="R485">
            <v>13537</v>
          </cell>
          <cell r="S485">
            <v>13537</v>
          </cell>
          <cell r="T485">
            <v>13537</v>
          </cell>
          <cell r="U485">
            <v>13537</v>
          </cell>
          <cell r="V485"/>
          <cell r="W485"/>
          <cell r="X485"/>
          <cell r="Y485"/>
          <cell r="Z485"/>
        </row>
        <row r="486">
          <cell r="A486"/>
          <cell r="O486" t="str">
            <v>Temps moyen d'occupation (min)</v>
          </cell>
          <cell r="P486">
            <v>100</v>
          </cell>
          <cell r="Q486">
            <v>100</v>
          </cell>
          <cell r="R486">
            <v>100</v>
          </cell>
          <cell r="S486">
            <v>100</v>
          </cell>
          <cell r="T486">
            <v>100</v>
          </cell>
          <cell r="U486">
            <v>100</v>
          </cell>
          <cell r="W486"/>
          <cell r="X486"/>
          <cell r="Y486"/>
          <cell r="Z486"/>
        </row>
        <row r="487">
          <cell r="A487"/>
          <cell r="O487" t="str">
            <v>Standard IATA (m2/PAX)</v>
          </cell>
          <cell r="P487">
            <v>1</v>
          </cell>
          <cell r="Q487">
            <v>1</v>
          </cell>
          <cell r="R487">
            <v>1</v>
          </cell>
          <cell r="S487">
            <v>1</v>
          </cell>
          <cell r="T487">
            <v>1</v>
          </cell>
          <cell r="U487">
            <v>1</v>
          </cell>
          <cell r="W487"/>
          <cell r="X487"/>
          <cell r="Y487"/>
          <cell r="Z487"/>
        </row>
        <row r="488">
          <cell r="A488"/>
          <cell r="O488" t="str">
            <v>Taux d'occupation MAX IATA</v>
          </cell>
          <cell r="P488">
            <v>0.65</v>
          </cell>
          <cell r="Q488">
            <v>0.65</v>
          </cell>
          <cell r="R488">
            <v>0.65</v>
          </cell>
          <cell r="S488">
            <v>0.65</v>
          </cell>
          <cell r="T488">
            <v>0.65</v>
          </cell>
          <cell r="U488">
            <v>0.65</v>
          </cell>
          <cell r="W488"/>
          <cell r="X488"/>
          <cell r="Y488"/>
          <cell r="Z488"/>
        </row>
        <row r="489">
          <cell r="A489"/>
          <cell r="W489"/>
          <cell r="X489"/>
          <cell r="Y489"/>
          <cell r="Z489"/>
        </row>
        <row r="490">
          <cell r="A490"/>
          <cell r="O490" t="str">
            <v>Attente EMB Hall L</v>
          </cell>
          <cell r="P490">
            <v>5279.43</v>
          </cell>
          <cell r="Q490">
            <v>5279.43</v>
          </cell>
          <cell r="R490">
            <v>5279.43</v>
          </cell>
          <cell r="S490">
            <v>5279.43</v>
          </cell>
          <cell r="T490">
            <v>5279.43</v>
          </cell>
          <cell r="U490">
            <v>5279.43</v>
          </cell>
          <cell r="V490"/>
          <cell r="W490"/>
          <cell r="X490"/>
          <cell r="Y490"/>
          <cell r="Z490"/>
        </row>
        <row r="491">
          <cell r="A491"/>
          <cell r="O491"/>
          <cell r="W491"/>
          <cell r="X491"/>
          <cell r="Y491"/>
          <cell r="Z491"/>
        </row>
        <row r="492">
          <cell r="A492"/>
          <cell r="O492"/>
          <cell r="W492"/>
          <cell r="X492"/>
          <cell r="Y492"/>
          <cell r="Z492"/>
        </row>
        <row r="493">
          <cell r="A493"/>
          <cell r="O493"/>
          <cell r="W493"/>
          <cell r="X493"/>
          <cell r="Y493"/>
          <cell r="Z493"/>
        </row>
        <row r="494">
          <cell r="A494"/>
          <cell r="O494" t="str">
            <v>T2E - Embarquement Hall M</v>
          </cell>
          <cell r="P494" t="str">
            <v>W22</v>
          </cell>
          <cell r="Q494" t="str">
            <v>S23</v>
          </cell>
          <cell r="R494" t="str">
            <v>W23</v>
          </cell>
          <cell r="S494" t="str">
            <v>S24</v>
          </cell>
          <cell r="T494" t="str">
            <v>W24</v>
          </cell>
          <cell r="U494" t="str">
            <v>S25</v>
          </cell>
          <cell r="V494" t="str">
            <v>W25</v>
          </cell>
          <cell r="W494" t="str">
            <v>S26</v>
          </cell>
          <cell r="X494" t="str">
            <v>W26</v>
          </cell>
          <cell r="Y494" t="str">
            <v>S27</v>
          </cell>
          <cell r="Z494" t="str">
            <v>W27</v>
          </cell>
        </row>
        <row r="495">
          <cell r="A495"/>
          <cell r="R495"/>
          <cell r="S495"/>
          <cell r="T495"/>
          <cell r="U495"/>
          <cell r="V495"/>
          <cell r="W495"/>
          <cell r="X495"/>
          <cell r="Y495"/>
          <cell r="Z495"/>
        </row>
        <row r="496">
          <cell r="A496"/>
          <cell r="O496" t="str">
            <v>Surface d'attente utile (m2)</v>
          </cell>
          <cell r="P496">
            <v>15374</v>
          </cell>
          <cell r="Q496">
            <v>15374</v>
          </cell>
          <cell r="R496">
            <v>15374</v>
          </cell>
          <cell r="S496">
            <v>15374</v>
          </cell>
          <cell r="T496">
            <v>15374</v>
          </cell>
          <cell r="U496">
            <v>15374</v>
          </cell>
          <cell r="V496"/>
          <cell r="W496"/>
          <cell r="X496"/>
          <cell r="Y496"/>
          <cell r="Z496"/>
        </row>
        <row r="497">
          <cell r="A497"/>
          <cell r="O497" t="str">
            <v>Temps moyen d'occupation (min)</v>
          </cell>
          <cell r="P497">
            <v>100</v>
          </cell>
          <cell r="Q497">
            <v>100</v>
          </cell>
          <cell r="R497">
            <v>100</v>
          </cell>
          <cell r="S497">
            <v>100</v>
          </cell>
          <cell r="T497">
            <v>100</v>
          </cell>
          <cell r="U497">
            <v>100</v>
          </cell>
          <cell r="W497"/>
          <cell r="X497"/>
          <cell r="Y497"/>
          <cell r="Z497"/>
        </row>
        <row r="498">
          <cell r="A498"/>
          <cell r="O498" t="str">
            <v>Standard IATA (m2/PAX)</v>
          </cell>
          <cell r="P498">
            <v>1</v>
          </cell>
          <cell r="Q498">
            <v>1</v>
          </cell>
          <cell r="R498">
            <v>1</v>
          </cell>
          <cell r="S498">
            <v>1</v>
          </cell>
          <cell r="T498">
            <v>1</v>
          </cell>
          <cell r="U498">
            <v>1</v>
          </cell>
          <cell r="W498"/>
          <cell r="X498"/>
          <cell r="Y498"/>
          <cell r="Z498"/>
        </row>
        <row r="499">
          <cell r="A499"/>
          <cell r="O499" t="str">
            <v>Taux d'occupation MAX IATA</v>
          </cell>
          <cell r="P499">
            <v>0.65</v>
          </cell>
          <cell r="Q499">
            <v>0.65</v>
          </cell>
          <cell r="R499">
            <v>0.65</v>
          </cell>
          <cell r="S499">
            <v>0.65</v>
          </cell>
          <cell r="T499">
            <v>0.65</v>
          </cell>
          <cell r="U499">
            <v>0.65</v>
          </cell>
          <cell r="W499"/>
          <cell r="X499"/>
          <cell r="Y499"/>
          <cell r="Z499"/>
        </row>
        <row r="500">
          <cell r="A500"/>
          <cell r="W500"/>
          <cell r="X500"/>
          <cell r="Y500"/>
          <cell r="Z500"/>
        </row>
        <row r="501">
          <cell r="A501"/>
          <cell r="O501" t="str">
            <v>Attente EMB Hall M</v>
          </cell>
          <cell r="P501">
            <v>5995.86</v>
          </cell>
          <cell r="Q501">
            <v>5995.86</v>
          </cell>
          <cell r="R501">
            <v>5995.86</v>
          </cell>
          <cell r="S501">
            <v>5995.86</v>
          </cell>
          <cell r="T501">
            <v>5995.86</v>
          </cell>
          <cell r="U501">
            <v>5995.86</v>
          </cell>
          <cell r="V501"/>
          <cell r="W501"/>
          <cell r="X501"/>
          <cell r="Y501"/>
          <cell r="Z501"/>
        </row>
        <row r="502">
          <cell r="A502"/>
          <cell r="W502"/>
          <cell r="X502"/>
          <cell r="Y502"/>
          <cell r="Z502"/>
        </row>
        <row r="503">
          <cell r="A503"/>
          <cell r="W503"/>
          <cell r="X503"/>
          <cell r="Y503"/>
          <cell r="Z503"/>
        </row>
        <row r="504">
          <cell r="A504"/>
          <cell r="W504"/>
          <cell r="X504"/>
          <cell r="Y504"/>
          <cell r="Z504"/>
        </row>
        <row r="505">
          <cell r="A505"/>
          <cell r="O505" t="str">
            <v>Attente EMB</v>
          </cell>
          <cell r="P505">
            <v>16362.45</v>
          </cell>
          <cell r="Q505">
            <v>16362.45</v>
          </cell>
          <cell r="R505">
            <v>16362.45</v>
          </cell>
          <cell r="S505">
            <v>16362.45</v>
          </cell>
          <cell r="T505">
            <v>16362.45</v>
          </cell>
          <cell r="U505">
            <v>16362.45</v>
          </cell>
          <cell r="V505">
            <v>0</v>
          </cell>
          <cell r="W505"/>
          <cell r="X505"/>
          <cell r="Y505"/>
          <cell r="Z505"/>
        </row>
        <row r="506">
          <cell r="A506"/>
          <cell r="W506"/>
          <cell r="X506"/>
          <cell r="Y506"/>
          <cell r="Z506"/>
        </row>
        <row r="507">
          <cell r="A507"/>
          <cell r="W507"/>
          <cell r="X507"/>
          <cell r="Y507"/>
          <cell r="Z507"/>
        </row>
        <row r="508">
          <cell r="A508"/>
        </row>
        <row r="510">
          <cell r="A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</row>
        <row r="511">
          <cell r="A511" t="str">
            <v>Postes</v>
          </cell>
        </row>
        <row r="512">
          <cell r="A512"/>
          <cell r="N512" t="str">
            <v>T2E NET1 MAX</v>
          </cell>
          <cell r="O512"/>
          <cell r="P512" t="str">
            <v>W22</v>
          </cell>
          <cell r="Q512" t="str">
            <v>S23</v>
          </cell>
          <cell r="R512" t="str">
            <v>W23</v>
          </cell>
          <cell r="S512" t="str">
            <v>S24</v>
          </cell>
          <cell r="T512" t="str">
            <v>W24</v>
          </cell>
          <cell r="U512" t="str">
            <v>S25</v>
          </cell>
          <cell r="V512" t="str">
            <v>W25</v>
          </cell>
          <cell r="W512" t="str">
            <v>S26</v>
          </cell>
          <cell r="X512" t="str">
            <v>W26</v>
          </cell>
          <cell r="Y512" t="str">
            <v>S27</v>
          </cell>
          <cell r="Z512" t="str">
            <v>W27</v>
          </cell>
        </row>
        <row r="513">
          <cell r="A513"/>
          <cell r="N513" t="str">
            <v>T2EK - Contact</v>
          </cell>
          <cell r="O513" t="str">
            <v>A/B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/>
          <cell r="Y513"/>
          <cell r="Z513"/>
        </row>
        <row r="514">
          <cell r="A514"/>
          <cell r="N514"/>
          <cell r="O514" t="str">
            <v>C</v>
          </cell>
          <cell r="P514">
            <v>4</v>
          </cell>
          <cell r="Q514">
            <v>4</v>
          </cell>
          <cell r="R514">
            <v>4</v>
          </cell>
          <cell r="S514">
            <v>4</v>
          </cell>
          <cell r="T514">
            <v>4</v>
          </cell>
          <cell r="U514">
            <v>4</v>
          </cell>
          <cell r="V514">
            <v>4</v>
          </cell>
          <cell r="W514">
            <v>1</v>
          </cell>
          <cell r="X514"/>
          <cell r="Y514"/>
          <cell r="Z514"/>
        </row>
        <row r="515">
          <cell r="A515"/>
          <cell r="N515"/>
          <cell r="O515" t="str">
            <v>D</v>
          </cell>
          <cell r="P515">
            <v>1</v>
          </cell>
          <cell r="Q515">
            <v>1</v>
          </cell>
          <cell r="R515">
            <v>1</v>
          </cell>
          <cell r="S515">
            <v>1</v>
          </cell>
          <cell r="T515">
            <v>1</v>
          </cell>
          <cell r="U515">
            <v>1</v>
          </cell>
          <cell r="V515">
            <v>1</v>
          </cell>
          <cell r="W515">
            <v>1</v>
          </cell>
          <cell r="X515"/>
          <cell r="Y515"/>
          <cell r="Z515"/>
        </row>
        <row r="516">
          <cell r="A516"/>
          <cell r="N516"/>
          <cell r="O516" t="str">
            <v>E</v>
          </cell>
          <cell r="P516">
            <v>9</v>
          </cell>
          <cell r="Q516">
            <v>9</v>
          </cell>
          <cell r="R516">
            <v>9</v>
          </cell>
          <cell r="S516">
            <v>9</v>
          </cell>
          <cell r="T516">
            <v>9</v>
          </cell>
          <cell r="U516">
            <v>9</v>
          </cell>
          <cell r="V516">
            <v>9</v>
          </cell>
          <cell r="W516">
            <v>9</v>
          </cell>
          <cell r="X516"/>
          <cell r="Y516"/>
          <cell r="Z516"/>
        </row>
        <row r="517">
          <cell r="A517"/>
          <cell r="N517"/>
          <cell r="O517" t="str">
            <v>F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/>
          <cell r="Y517"/>
          <cell r="Z517"/>
        </row>
        <row r="518">
          <cell r="A518"/>
          <cell r="N518" t="str">
            <v>S3 - Contact</v>
          </cell>
          <cell r="O518" t="str">
            <v>A/B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/>
          <cell r="Y518"/>
          <cell r="Z518"/>
        </row>
        <row r="519">
          <cell r="A519"/>
          <cell r="N519"/>
          <cell r="O519" t="str">
            <v>C</v>
          </cell>
          <cell r="P519">
            <v>6</v>
          </cell>
          <cell r="Q519">
            <v>6</v>
          </cell>
          <cell r="R519">
            <v>6</v>
          </cell>
          <cell r="S519">
            <v>6</v>
          </cell>
          <cell r="T519">
            <v>6</v>
          </cell>
          <cell r="U519">
            <v>6</v>
          </cell>
          <cell r="V519">
            <v>6</v>
          </cell>
          <cell r="W519">
            <v>6</v>
          </cell>
          <cell r="X519"/>
          <cell r="Y519"/>
          <cell r="Z519"/>
        </row>
        <row r="520">
          <cell r="A520"/>
          <cell r="N520"/>
          <cell r="O520" t="str">
            <v>D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/>
          <cell r="Y520"/>
          <cell r="Z520"/>
        </row>
        <row r="521">
          <cell r="A521"/>
          <cell r="N521"/>
          <cell r="O521" t="str">
            <v>E</v>
          </cell>
          <cell r="P521">
            <v>9</v>
          </cell>
          <cell r="Q521">
            <v>9</v>
          </cell>
          <cell r="R521">
            <v>9</v>
          </cell>
          <cell r="S521">
            <v>9</v>
          </cell>
          <cell r="T521">
            <v>9</v>
          </cell>
          <cell r="U521">
            <v>9</v>
          </cell>
          <cell r="V521">
            <v>9</v>
          </cell>
          <cell r="W521">
            <v>9</v>
          </cell>
          <cell r="X521"/>
          <cell r="Y521"/>
          <cell r="Z521"/>
        </row>
        <row r="522">
          <cell r="A522"/>
          <cell r="N522"/>
          <cell r="O522" t="str">
            <v>F</v>
          </cell>
          <cell r="P522">
            <v>3</v>
          </cell>
          <cell r="Q522">
            <v>3</v>
          </cell>
          <cell r="R522">
            <v>3</v>
          </cell>
          <cell r="S522">
            <v>3</v>
          </cell>
          <cell r="T522">
            <v>3</v>
          </cell>
          <cell r="U522">
            <v>3</v>
          </cell>
          <cell r="V522">
            <v>3</v>
          </cell>
          <cell r="W522">
            <v>3</v>
          </cell>
          <cell r="X522"/>
          <cell r="Y522"/>
          <cell r="Z522"/>
        </row>
        <row r="523">
          <cell r="A523"/>
          <cell r="N523" t="str">
            <v>S4 - Contact</v>
          </cell>
          <cell r="O523" t="str">
            <v>A/B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/>
          <cell r="Y523"/>
          <cell r="Z523"/>
        </row>
        <row r="524">
          <cell r="A524"/>
          <cell r="N524"/>
          <cell r="O524" t="str">
            <v>C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/>
          <cell r="Y524"/>
          <cell r="Z524"/>
        </row>
        <row r="525">
          <cell r="A525"/>
          <cell r="N525"/>
          <cell r="O525" t="str">
            <v>D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/>
          <cell r="Y525"/>
          <cell r="Z525"/>
        </row>
        <row r="526">
          <cell r="A526"/>
          <cell r="N526"/>
          <cell r="O526" t="str">
            <v>E</v>
          </cell>
          <cell r="P526">
            <v>9</v>
          </cell>
          <cell r="Q526">
            <v>9</v>
          </cell>
          <cell r="R526">
            <v>9</v>
          </cell>
          <cell r="S526">
            <v>9</v>
          </cell>
          <cell r="T526">
            <v>10</v>
          </cell>
          <cell r="U526">
            <v>10</v>
          </cell>
          <cell r="V526">
            <v>10</v>
          </cell>
          <cell r="W526">
            <v>10</v>
          </cell>
          <cell r="X526"/>
          <cell r="Y526"/>
          <cell r="Z526"/>
        </row>
        <row r="527">
          <cell r="A527"/>
          <cell r="N527"/>
          <cell r="O527" t="str">
            <v>F</v>
          </cell>
          <cell r="P527">
            <v>7</v>
          </cell>
          <cell r="Q527">
            <v>7</v>
          </cell>
          <cell r="R527">
            <v>7</v>
          </cell>
          <cell r="S527">
            <v>7</v>
          </cell>
          <cell r="T527">
            <v>6</v>
          </cell>
          <cell r="U527">
            <v>6</v>
          </cell>
          <cell r="V527">
            <v>6</v>
          </cell>
          <cell r="W527">
            <v>6</v>
          </cell>
          <cell r="X527"/>
          <cell r="Y527"/>
          <cell r="Z527"/>
        </row>
        <row r="528">
          <cell r="A528"/>
          <cell r="N528" t="str">
            <v>Global - CONTACT</v>
          </cell>
          <cell r="O528" t="str">
            <v>A/B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/>
          <cell r="Y528"/>
          <cell r="Z528"/>
        </row>
        <row r="529">
          <cell r="A529"/>
          <cell r="N529"/>
          <cell r="O529" t="str">
            <v>C</v>
          </cell>
          <cell r="P529">
            <v>10</v>
          </cell>
          <cell r="Q529">
            <v>10</v>
          </cell>
          <cell r="R529">
            <v>10</v>
          </cell>
          <cell r="S529">
            <v>10</v>
          </cell>
          <cell r="T529">
            <v>10</v>
          </cell>
          <cell r="U529">
            <v>10</v>
          </cell>
          <cell r="V529">
            <v>10</v>
          </cell>
          <cell r="W529">
            <v>7</v>
          </cell>
          <cell r="X529"/>
          <cell r="Y529"/>
          <cell r="Z529"/>
        </row>
        <row r="530">
          <cell r="A530"/>
          <cell r="N530"/>
          <cell r="O530" t="str">
            <v>D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W530">
            <v>1</v>
          </cell>
          <cell r="X530"/>
          <cell r="Y530"/>
          <cell r="Z530"/>
        </row>
        <row r="531">
          <cell r="A531"/>
          <cell r="N531"/>
          <cell r="O531" t="str">
            <v>E</v>
          </cell>
          <cell r="P531">
            <v>27</v>
          </cell>
          <cell r="Q531">
            <v>27</v>
          </cell>
          <cell r="R531">
            <v>27</v>
          </cell>
          <cell r="S531">
            <v>27</v>
          </cell>
          <cell r="T531">
            <v>28</v>
          </cell>
          <cell r="U531">
            <v>28</v>
          </cell>
          <cell r="V531">
            <v>28</v>
          </cell>
          <cell r="W531">
            <v>28</v>
          </cell>
          <cell r="X531"/>
          <cell r="Y531"/>
          <cell r="Z531"/>
        </row>
        <row r="532">
          <cell r="A532"/>
          <cell r="N532"/>
          <cell r="O532" t="str">
            <v>F</v>
          </cell>
          <cell r="P532">
            <v>10</v>
          </cell>
          <cell r="Q532">
            <v>10</v>
          </cell>
          <cell r="R532">
            <v>10</v>
          </cell>
          <cell r="S532">
            <v>10</v>
          </cell>
          <cell r="T532">
            <v>9</v>
          </cell>
          <cell r="U532">
            <v>9</v>
          </cell>
          <cell r="V532">
            <v>9</v>
          </cell>
          <cell r="W532">
            <v>9</v>
          </cell>
          <cell r="X532"/>
          <cell r="Y532"/>
          <cell r="Z532"/>
        </row>
        <row r="533">
          <cell r="A533"/>
          <cell r="N533"/>
          <cell r="O533" t="str">
            <v>T2E Contact</v>
          </cell>
          <cell r="P533">
            <v>48</v>
          </cell>
          <cell r="Q533">
            <v>48</v>
          </cell>
          <cell r="R533">
            <v>48</v>
          </cell>
          <cell r="S533">
            <v>48</v>
          </cell>
          <cell r="T533">
            <v>48</v>
          </cell>
          <cell r="U533">
            <v>48</v>
          </cell>
          <cell r="V533">
            <v>48</v>
          </cell>
          <cell r="W533">
            <v>45</v>
          </cell>
          <cell r="X533"/>
          <cell r="Y533"/>
          <cell r="Z533"/>
        </row>
        <row r="534">
          <cell r="A534"/>
          <cell r="W534"/>
          <cell r="X534"/>
          <cell r="Y534"/>
          <cell r="Z534"/>
        </row>
        <row r="535">
          <cell r="A535"/>
          <cell r="N535" t="str">
            <v>Global - LARGE</v>
          </cell>
          <cell r="O535" t="str">
            <v>A/B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/>
          <cell r="Y535"/>
          <cell r="Z535"/>
        </row>
        <row r="536">
          <cell r="A536"/>
          <cell r="N536"/>
          <cell r="O536" t="str">
            <v>C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/>
          <cell r="Y536"/>
          <cell r="Z536"/>
        </row>
        <row r="537">
          <cell r="A537"/>
          <cell r="N537"/>
          <cell r="O537" t="str">
            <v>D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/>
          <cell r="Y537"/>
          <cell r="Z537"/>
        </row>
        <row r="538">
          <cell r="A538"/>
          <cell r="N538"/>
          <cell r="O538" t="str">
            <v>E</v>
          </cell>
          <cell r="P538">
            <v>8</v>
          </cell>
          <cell r="Q538">
            <v>8</v>
          </cell>
          <cell r="R538">
            <v>8</v>
          </cell>
          <cell r="S538">
            <v>15</v>
          </cell>
          <cell r="T538">
            <v>15</v>
          </cell>
          <cell r="U538">
            <v>16</v>
          </cell>
          <cell r="V538">
            <v>16</v>
          </cell>
          <cell r="W538">
            <v>16</v>
          </cell>
          <cell r="X538"/>
          <cell r="Y538"/>
          <cell r="Z538"/>
        </row>
        <row r="539">
          <cell r="A539"/>
          <cell r="N539"/>
          <cell r="O539" t="str">
            <v>F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/>
          <cell r="Y539"/>
          <cell r="Z539"/>
        </row>
        <row r="540">
          <cell r="A540"/>
          <cell r="N540"/>
          <cell r="O540" t="str">
            <v>T2E Large</v>
          </cell>
          <cell r="P540">
            <v>8</v>
          </cell>
          <cell r="Q540">
            <v>8</v>
          </cell>
          <cell r="R540">
            <v>8</v>
          </cell>
          <cell r="S540">
            <v>15</v>
          </cell>
          <cell r="T540">
            <v>15</v>
          </cell>
          <cell r="U540">
            <v>16</v>
          </cell>
          <cell r="V540">
            <v>16</v>
          </cell>
          <cell r="W540">
            <v>16</v>
          </cell>
          <cell r="X540"/>
          <cell r="Y540"/>
          <cell r="Z540"/>
        </row>
        <row r="541">
          <cell r="A541"/>
        </row>
        <row r="542">
          <cell r="A542"/>
        </row>
        <row r="544">
          <cell r="A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</row>
        <row r="545">
          <cell r="A545" t="str">
            <v>Frontières ARR</v>
          </cell>
          <cell r="H545" t="str">
            <v>Sans EES</v>
          </cell>
          <cell r="I545"/>
          <cell r="J545"/>
          <cell r="K545"/>
          <cell r="L545"/>
        </row>
        <row r="546">
          <cell r="A546"/>
          <cell r="H546" t="str">
            <v>QP Passeports</v>
          </cell>
          <cell r="I546"/>
          <cell r="J546" t="str">
            <v>T2EK ARR</v>
          </cell>
          <cell r="K546" t="str">
            <v>Aubette</v>
          </cell>
          <cell r="L546" t="str">
            <v>Parafe</v>
          </cell>
          <cell r="M546"/>
          <cell r="N546"/>
          <cell r="O546" t="str">
            <v>T2E - PAF T2EK ARR</v>
          </cell>
          <cell r="P546" t="str">
            <v>W22</v>
          </cell>
          <cell r="Q546" t="str">
            <v>S23</v>
          </cell>
          <cell r="R546" t="str">
            <v>W23</v>
          </cell>
          <cell r="S546" t="str">
            <v>S24</v>
          </cell>
          <cell r="T546" t="str">
            <v>W24</v>
          </cell>
          <cell r="U546" t="str">
            <v>S25</v>
          </cell>
          <cell r="V546" t="str">
            <v>W25</v>
          </cell>
          <cell r="W546" t="str">
            <v>S26</v>
          </cell>
          <cell r="X546" t="str">
            <v>W26</v>
          </cell>
          <cell r="Y546" t="str">
            <v>S27</v>
          </cell>
          <cell r="Z546" t="str">
            <v>W27</v>
          </cell>
        </row>
        <row r="547">
          <cell r="A547"/>
          <cell r="H547" t="str">
            <v>UE</v>
          </cell>
          <cell r="I547">
            <v>0.55000000000000004</v>
          </cell>
          <cell r="J547" t="str">
            <v>Part modale</v>
          </cell>
          <cell r="K547"/>
          <cell r="L547"/>
          <cell r="N547"/>
        </row>
        <row r="548">
          <cell r="A548"/>
          <cell r="H548" t="str">
            <v>RPT13</v>
          </cell>
          <cell r="I548">
            <v>0.28000000000000003</v>
          </cell>
          <cell r="J548" t="str">
            <v>UE</v>
          </cell>
          <cell r="K548">
            <v>0.4</v>
          </cell>
          <cell r="L548">
            <v>0.6</v>
          </cell>
          <cell r="M548"/>
          <cell r="N548"/>
          <cell r="O548" t="str">
            <v>NB position aubette</v>
          </cell>
          <cell r="P548">
            <v>24</v>
          </cell>
          <cell r="Q548">
            <v>20</v>
          </cell>
          <cell r="R548">
            <v>20</v>
          </cell>
          <cell r="S548">
            <v>20</v>
          </cell>
          <cell r="T548">
            <v>20</v>
          </cell>
          <cell r="U548">
            <v>20</v>
          </cell>
          <cell r="V548">
            <v>20</v>
          </cell>
          <cell r="W548">
            <v>20</v>
          </cell>
          <cell r="X548">
            <v>20</v>
          </cell>
          <cell r="Y548"/>
          <cell r="Z548"/>
        </row>
        <row r="549">
          <cell r="A549"/>
          <cell r="H549" t="str">
            <v>Autres TP</v>
          </cell>
          <cell r="I549">
            <v>0.16999999999999993</v>
          </cell>
          <cell r="J549" t="str">
            <v>RPT13</v>
          </cell>
          <cell r="K549">
            <v>0.4</v>
          </cell>
          <cell r="L549">
            <v>0.6</v>
          </cell>
          <cell r="M549"/>
          <cell r="N549"/>
          <cell r="O549" t="str">
            <v>Débit unitaire</v>
          </cell>
          <cell r="P549">
            <v>88</v>
          </cell>
          <cell r="Q549">
            <v>93</v>
          </cell>
          <cell r="R549">
            <v>93</v>
          </cell>
          <cell r="S549">
            <v>93</v>
          </cell>
          <cell r="T549">
            <v>93</v>
          </cell>
          <cell r="U549">
            <v>93</v>
          </cell>
          <cell r="V549">
            <v>93</v>
          </cell>
          <cell r="W549">
            <v>61</v>
          </cell>
          <cell r="X549">
            <v>61</v>
          </cell>
          <cell r="Y549"/>
          <cell r="Z549"/>
        </row>
        <row r="550">
          <cell r="A550"/>
          <cell r="I550"/>
          <cell r="J550" t="str">
            <v>Autres TP</v>
          </cell>
          <cell r="K550">
            <v>1</v>
          </cell>
          <cell r="L550"/>
          <cell r="M550"/>
          <cell r="N550"/>
          <cell r="O550" t="str">
            <v>Débit Aubette</v>
          </cell>
          <cell r="P550">
            <v>2112</v>
          </cell>
          <cell r="Q550">
            <v>1860</v>
          </cell>
          <cell r="R550">
            <v>1860</v>
          </cell>
          <cell r="S550">
            <v>1860</v>
          </cell>
          <cell r="T550">
            <v>1860</v>
          </cell>
          <cell r="U550">
            <v>1860</v>
          </cell>
          <cell r="V550">
            <v>1860</v>
          </cell>
          <cell r="W550">
            <v>1220</v>
          </cell>
          <cell r="X550">
            <v>1220</v>
          </cell>
          <cell r="Y550"/>
          <cell r="Z550"/>
        </row>
        <row r="551">
          <cell r="A551"/>
          <cell r="J551" t="str">
            <v>TTU</v>
          </cell>
          <cell r="K551"/>
          <cell r="L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</row>
        <row r="552">
          <cell r="A552"/>
          <cell r="J552" t="str">
            <v>UE</v>
          </cell>
          <cell r="K552">
            <v>27</v>
          </cell>
          <cell r="L552">
            <v>31</v>
          </cell>
          <cell r="M552"/>
          <cell r="O552" t="str">
            <v>NB Parafes</v>
          </cell>
          <cell r="P552">
            <v>10</v>
          </cell>
          <cell r="Q552">
            <v>15</v>
          </cell>
          <cell r="R552">
            <v>15</v>
          </cell>
          <cell r="S552">
            <v>16</v>
          </cell>
          <cell r="T552">
            <v>18</v>
          </cell>
          <cell r="U552">
            <v>18</v>
          </cell>
          <cell r="V552">
            <v>18</v>
          </cell>
          <cell r="W552">
            <v>18</v>
          </cell>
          <cell r="X552">
            <v>18</v>
          </cell>
          <cell r="Y552"/>
          <cell r="Z552"/>
        </row>
        <row r="553">
          <cell r="A553"/>
          <cell r="J553" t="str">
            <v>RPT13</v>
          </cell>
          <cell r="K553">
            <v>47.6</v>
          </cell>
          <cell r="L553">
            <v>31</v>
          </cell>
          <cell r="O553" t="str">
            <v>Débit unitaire</v>
          </cell>
          <cell r="P553">
            <v>116</v>
          </cell>
          <cell r="Q553">
            <v>116</v>
          </cell>
          <cell r="R553">
            <v>116</v>
          </cell>
          <cell r="S553">
            <v>116</v>
          </cell>
          <cell r="T553">
            <v>116</v>
          </cell>
          <cell r="U553">
            <v>116</v>
          </cell>
          <cell r="V553">
            <v>116</v>
          </cell>
          <cell r="W553">
            <v>108</v>
          </cell>
          <cell r="X553">
            <v>108</v>
          </cell>
          <cell r="Y553"/>
          <cell r="Z553"/>
        </row>
        <row r="554">
          <cell r="A554"/>
          <cell r="J554" t="str">
            <v>Autres TP</v>
          </cell>
          <cell r="K554">
            <v>47.6</v>
          </cell>
          <cell r="L554"/>
          <cell r="M554"/>
          <cell r="O554" t="str">
            <v>Débit Parafe</v>
          </cell>
          <cell r="P554">
            <v>1160</v>
          </cell>
          <cell r="Q554">
            <v>1740</v>
          </cell>
          <cell r="R554">
            <v>1740</v>
          </cell>
          <cell r="S554">
            <v>1856</v>
          </cell>
          <cell r="T554">
            <v>2088</v>
          </cell>
          <cell r="U554">
            <v>2088</v>
          </cell>
          <cell r="V554">
            <v>2088</v>
          </cell>
          <cell r="W554">
            <v>1944</v>
          </cell>
          <cell r="X554">
            <v>1944</v>
          </cell>
          <cell r="Y554"/>
          <cell r="Z554"/>
        </row>
        <row r="555">
          <cell r="A555"/>
          <cell r="J555" t="str">
            <v>Résultante unitaire</v>
          </cell>
          <cell r="K555"/>
          <cell r="L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</row>
        <row r="556">
          <cell r="A556"/>
          <cell r="J556" t="str">
            <v>PM</v>
          </cell>
          <cell r="K556">
            <v>0.502</v>
          </cell>
          <cell r="L556">
            <v>0.498</v>
          </cell>
          <cell r="M556"/>
          <cell r="O556" t="str">
            <v>Débit PAF T2EK ARR</v>
          </cell>
          <cell r="P556">
            <v>3272</v>
          </cell>
          <cell r="Q556">
            <v>3600</v>
          </cell>
          <cell r="R556">
            <v>3600</v>
          </cell>
          <cell r="S556">
            <v>3716</v>
          </cell>
          <cell r="T556">
            <v>3948</v>
          </cell>
          <cell r="U556">
            <v>3948</v>
          </cell>
          <cell r="V556">
            <v>3948</v>
          </cell>
          <cell r="W556">
            <v>3164</v>
          </cell>
          <cell r="X556">
            <v>3164</v>
          </cell>
          <cell r="Y556"/>
          <cell r="Z556"/>
        </row>
        <row r="557">
          <cell r="A557"/>
          <cell r="J557" t="str">
            <v>TTU</v>
          </cell>
          <cell r="K557">
            <v>38.572111553784858</v>
          </cell>
          <cell r="L557">
            <v>31</v>
          </cell>
          <cell r="M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</row>
        <row r="558">
          <cell r="A558"/>
          <cell r="J558" t="str">
            <v xml:space="preserve">Débit unitaire </v>
          </cell>
          <cell r="K558">
            <v>93.33168071393159</v>
          </cell>
          <cell r="L558">
            <v>116.12903225806451</v>
          </cell>
          <cell r="M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</row>
        <row r="559">
          <cell r="A559"/>
          <cell r="J559"/>
          <cell r="K559"/>
          <cell r="L559"/>
          <cell r="M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</row>
        <row r="560">
          <cell r="A560"/>
          <cell r="J560"/>
          <cell r="K560"/>
          <cell r="L560"/>
          <cell r="M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</row>
        <row r="561">
          <cell r="A561"/>
          <cell r="H561" t="str">
            <v>Avec EES</v>
          </cell>
          <cell r="I561"/>
          <cell r="J561"/>
          <cell r="K561"/>
          <cell r="L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</row>
        <row r="562">
          <cell r="A562"/>
          <cell r="H562" t="str">
            <v>QP Passeports</v>
          </cell>
          <cell r="I562"/>
          <cell r="J562" t="str">
            <v>T2EK ARR</v>
          </cell>
          <cell r="K562" t="str">
            <v>Aubette</v>
          </cell>
          <cell r="L562" t="str">
            <v>Parafe</v>
          </cell>
          <cell r="M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</row>
        <row r="563">
          <cell r="A563"/>
          <cell r="H563" t="str">
            <v>UE</v>
          </cell>
          <cell r="I563">
            <v>0.48</v>
          </cell>
          <cell r="J563" t="str">
            <v>Part modale</v>
          </cell>
          <cell r="K563"/>
          <cell r="L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</row>
        <row r="564">
          <cell r="A564"/>
          <cell r="H564" t="str">
            <v>RPT13</v>
          </cell>
          <cell r="I564">
            <v>0.38</v>
          </cell>
          <cell r="J564" t="str">
            <v>UE</v>
          </cell>
          <cell r="K564">
            <v>0.21</v>
          </cell>
          <cell r="L564">
            <v>0.79</v>
          </cell>
          <cell r="M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</row>
        <row r="565">
          <cell r="A565"/>
          <cell r="H565" t="str">
            <v>Autres TP</v>
          </cell>
          <cell r="I565">
            <v>0.14000000000000001</v>
          </cell>
          <cell r="J565" t="str">
            <v>RPT13</v>
          </cell>
          <cell r="K565">
            <v>0.32</v>
          </cell>
          <cell r="L565">
            <v>0.68</v>
          </cell>
          <cell r="M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</row>
        <row r="566">
          <cell r="A566"/>
          <cell r="I566"/>
          <cell r="J566" t="str">
            <v>Autres TP</v>
          </cell>
          <cell r="K566">
            <v>1</v>
          </cell>
          <cell r="L566"/>
          <cell r="M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</row>
        <row r="567">
          <cell r="A567"/>
          <cell r="J567" t="str">
            <v>TTU</v>
          </cell>
          <cell r="K567"/>
          <cell r="L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</row>
        <row r="568">
          <cell r="A568"/>
          <cell r="J568" t="str">
            <v>UE</v>
          </cell>
          <cell r="K568">
            <v>27</v>
          </cell>
          <cell r="L568">
            <v>31</v>
          </cell>
          <cell r="M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</row>
        <row r="569">
          <cell r="A569"/>
          <cell r="J569" t="str">
            <v>RPT13</v>
          </cell>
          <cell r="K569">
            <v>72</v>
          </cell>
          <cell r="L569">
            <v>37</v>
          </cell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</row>
        <row r="570">
          <cell r="A570"/>
          <cell r="J570" t="str">
            <v>Autres TP</v>
          </cell>
          <cell r="K570">
            <v>72</v>
          </cell>
          <cell r="L570"/>
          <cell r="M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</row>
        <row r="571">
          <cell r="A571"/>
          <cell r="J571" t="str">
            <v>Résultante unitaire</v>
          </cell>
          <cell r="K571"/>
          <cell r="L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</row>
        <row r="572">
          <cell r="A572"/>
          <cell r="J572" t="str">
            <v>PM</v>
          </cell>
          <cell r="K572">
            <v>0.3624</v>
          </cell>
          <cell r="L572">
            <v>0.63759999999999994</v>
          </cell>
          <cell r="M572"/>
          <cell r="P572"/>
          <cell r="Q572"/>
          <cell r="R572"/>
          <cell r="S572"/>
          <cell r="T572"/>
          <cell r="U572"/>
          <cell r="V572"/>
        </row>
        <row r="573">
          <cell r="A573"/>
          <cell r="J573" t="str">
            <v>TTU</v>
          </cell>
          <cell r="K573">
            <v>59.483443708609279</v>
          </cell>
          <cell r="L573">
            <v>33.431618569636136</v>
          </cell>
          <cell r="M573"/>
          <cell r="P573"/>
          <cell r="Q573"/>
          <cell r="R573"/>
          <cell r="S573"/>
          <cell r="T573"/>
          <cell r="U573"/>
          <cell r="V573"/>
        </row>
        <row r="574">
          <cell r="A574"/>
          <cell r="J574" t="str">
            <v xml:space="preserve">Débit unitaire </v>
          </cell>
          <cell r="K574">
            <v>60.521042084168329</v>
          </cell>
          <cell r="L574">
            <v>107.68249202477013</v>
          </cell>
          <cell r="M574"/>
          <cell r="P574"/>
          <cell r="Q574"/>
          <cell r="R574"/>
          <cell r="S574"/>
          <cell r="T574"/>
          <cell r="U574"/>
          <cell r="V574"/>
        </row>
        <row r="575">
          <cell r="A575"/>
          <cell r="J575"/>
          <cell r="K575"/>
          <cell r="L575"/>
          <cell r="M575"/>
          <cell r="P575"/>
          <cell r="Q575"/>
          <cell r="R575"/>
          <cell r="S575"/>
          <cell r="T575"/>
          <cell r="U575"/>
          <cell r="V575"/>
        </row>
        <row r="576">
          <cell r="A576"/>
          <cell r="I576"/>
          <cell r="J576"/>
          <cell r="K576"/>
          <cell r="L576"/>
          <cell r="M576"/>
          <cell r="P576"/>
          <cell r="Q576"/>
          <cell r="R576"/>
          <cell r="S576"/>
          <cell r="T576"/>
          <cell r="U576"/>
          <cell r="V576"/>
        </row>
        <row r="577">
          <cell r="A577"/>
          <cell r="I577"/>
          <cell r="J577"/>
          <cell r="K577"/>
          <cell r="L577"/>
          <cell r="M577"/>
          <cell r="P577"/>
          <cell r="Q577"/>
          <cell r="R577"/>
          <cell r="S577"/>
          <cell r="T577"/>
          <cell r="U577"/>
          <cell r="V577"/>
        </row>
        <row r="578">
          <cell r="A578"/>
          <cell r="I578"/>
          <cell r="J578"/>
          <cell r="K578"/>
          <cell r="L578"/>
          <cell r="M578"/>
          <cell r="P578"/>
          <cell r="Q578"/>
          <cell r="R578"/>
          <cell r="S578"/>
          <cell r="T578"/>
          <cell r="U578"/>
          <cell r="V578"/>
        </row>
        <row r="579">
          <cell r="A579"/>
          <cell r="H579" t="str">
            <v>Sans EES</v>
          </cell>
          <cell r="I579"/>
          <cell r="J579"/>
          <cell r="K579"/>
          <cell r="L579"/>
          <cell r="N579"/>
          <cell r="P579"/>
          <cell r="Q579"/>
          <cell r="R579"/>
          <cell r="S579"/>
          <cell r="T579"/>
          <cell r="U579"/>
          <cell r="V579"/>
        </row>
        <row r="580">
          <cell r="A580"/>
          <cell r="H580" t="str">
            <v>QP Passeports</v>
          </cell>
          <cell r="I580"/>
          <cell r="J580" t="str">
            <v>Gal K -&gt; F</v>
          </cell>
          <cell r="K580" t="str">
            <v>Aubette</v>
          </cell>
          <cell r="L580" t="str">
            <v>Parafe</v>
          </cell>
          <cell r="M580"/>
          <cell r="N580"/>
          <cell r="O580" t="str">
            <v>T2E - PAF Gal K &gt; F</v>
          </cell>
          <cell r="P580" t="str">
            <v>W22</v>
          </cell>
          <cell r="Q580" t="str">
            <v>S23</v>
          </cell>
          <cell r="R580" t="str">
            <v>W23</v>
          </cell>
          <cell r="S580" t="str">
            <v>S24</v>
          </cell>
          <cell r="T580" t="str">
            <v>W24</v>
          </cell>
          <cell r="U580" t="str">
            <v>S25</v>
          </cell>
          <cell r="V580" t="str">
            <v>W25</v>
          </cell>
          <cell r="W580" t="str">
            <v>S26</v>
          </cell>
          <cell r="X580" t="str">
            <v>W26</v>
          </cell>
          <cell r="Y580" t="str">
            <v>S27</v>
          </cell>
          <cell r="Z580" t="str">
            <v>W27</v>
          </cell>
        </row>
        <row r="581">
          <cell r="A581"/>
          <cell r="H581" t="str">
            <v>UE</v>
          </cell>
          <cell r="I581">
            <v>0.64</v>
          </cell>
          <cell r="J581" t="str">
            <v>Part modale</v>
          </cell>
          <cell r="K581"/>
          <cell r="L581"/>
          <cell r="N581"/>
        </row>
        <row r="582">
          <cell r="A582"/>
          <cell r="H582" t="str">
            <v>RPT13</v>
          </cell>
          <cell r="I582">
            <v>0.25</v>
          </cell>
          <cell r="J582" t="str">
            <v>UE</v>
          </cell>
          <cell r="K582">
            <v>0.4</v>
          </cell>
          <cell r="L582">
            <v>0.6</v>
          </cell>
          <cell r="M582"/>
          <cell r="N582"/>
          <cell r="O582" t="str">
            <v>NB position aubette</v>
          </cell>
          <cell r="P582">
            <v>16</v>
          </cell>
          <cell r="Q582">
            <v>16</v>
          </cell>
          <cell r="R582">
            <v>16</v>
          </cell>
          <cell r="S582">
            <v>16</v>
          </cell>
          <cell r="T582">
            <v>16</v>
          </cell>
          <cell r="U582">
            <v>16</v>
          </cell>
          <cell r="V582">
            <v>16</v>
          </cell>
          <cell r="W582">
            <v>16</v>
          </cell>
          <cell r="X582">
            <v>16</v>
          </cell>
          <cell r="Y582"/>
          <cell r="Z582"/>
        </row>
        <row r="583">
          <cell r="A583"/>
          <cell r="H583" t="str">
            <v>Autres TP</v>
          </cell>
          <cell r="I583">
            <v>0.10999999999999999</v>
          </cell>
          <cell r="J583" t="str">
            <v>RPT13</v>
          </cell>
          <cell r="K583">
            <v>0.4</v>
          </cell>
          <cell r="L583">
            <v>0.6</v>
          </cell>
          <cell r="M583"/>
          <cell r="N583"/>
          <cell r="O583" t="str">
            <v>Débit unitaire</v>
          </cell>
          <cell r="P583">
            <v>92</v>
          </cell>
          <cell r="Q583">
            <v>99</v>
          </cell>
          <cell r="R583">
            <v>99</v>
          </cell>
          <cell r="S583">
            <v>99</v>
          </cell>
          <cell r="T583">
            <v>99</v>
          </cell>
          <cell r="U583">
            <v>99</v>
          </cell>
          <cell r="V583">
            <v>99</v>
          </cell>
          <cell r="W583">
            <v>61</v>
          </cell>
          <cell r="X583">
            <v>61</v>
          </cell>
          <cell r="Y583"/>
          <cell r="Z583"/>
        </row>
        <row r="584">
          <cell r="A584"/>
          <cell r="I584"/>
          <cell r="J584" t="str">
            <v>Autres TP</v>
          </cell>
          <cell r="K584">
            <v>1</v>
          </cell>
          <cell r="L584"/>
          <cell r="M584"/>
          <cell r="N584"/>
          <cell r="O584" t="str">
            <v>Débit Aubette</v>
          </cell>
          <cell r="P584">
            <v>1472</v>
          </cell>
          <cell r="Q584">
            <v>1584</v>
          </cell>
          <cell r="R584">
            <v>1584</v>
          </cell>
          <cell r="S584">
            <v>1584</v>
          </cell>
          <cell r="T584">
            <v>1584</v>
          </cell>
          <cell r="U584">
            <v>1584</v>
          </cell>
          <cell r="V584">
            <v>1584</v>
          </cell>
          <cell r="W584">
            <v>976</v>
          </cell>
          <cell r="X584">
            <v>976</v>
          </cell>
          <cell r="Y584"/>
          <cell r="Z584"/>
        </row>
        <row r="585">
          <cell r="A585"/>
          <cell r="J585" t="str">
            <v>TTU</v>
          </cell>
          <cell r="K585"/>
          <cell r="L585"/>
          <cell r="N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</row>
        <row r="586">
          <cell r="A586"/>
          <cell r="J586" t="str">
            <v>UE</v>
          </cell>
          <cell r="K586">
            <v>27</v>
          </cell>
          <cell r="L586">
            <v>31</v>
          </cell>
          <cell r="M586"/>
          <cell r="N586"/>
          <cell r="O586" t="str">
            <v>NB Parafes</v>
          </cell>
          <cell r="P586">
            <v>10</v>
          </cell>
          <cell r="Q586">
            <v>10</v>
          </cell>
          <cell r="R586">
            <v>10</v>
          </cell>
          <cell r="S586">
            <v>10</v>
          </cell>
          <cell r="T586">
            <v>10</v>
          </cell>
          <cell r="U586">
            <v>12</v>
          </cell>
          <cell r="V586">
            <v>12</v>
          </cell>
          <cell r="W586">
            <v>12</v>
          </cell>
          <cell r="X586">
            <v>12</v>
          </cell>
          <cell r="Y586"/>
          <cell r="Z586"/>
        </row>
        <row r="587">
          <cell r="A587"/>
          <cell r="J587" t="str">
            <v>RPT13</v>
          </cell>
          <cell r="K587">
            <v>72</v>
          </cell>
          <cell r="L587">
            <v>31</v>
          </cell>
          <cell r="N587"/>
          <cell r="O587" t="str">
            <v>Débit unitaire</v>
          </cell>
          <cell r="P587">
            <v>116</v>
          </cell>
          <cell r="Q587">
            <v>116</v>
          </cell>
          <cell r="R587">
            <v>116</v>
          </cell>
          <cell r="S587">
            <v>116</v>
          </cell>
          <cell r="T587">
            <v>116</v>
          </cell>
          <cell r="U587">
            <v>116</v>
          </cell>
          <cell r="V587">
            <v>116</v>
          </cell>
          <cell r="W587">
            <v>108</v>
          </cell>
          <cell r="X587">
            <v>108</v>
          </cell>
          <cell r="Y587"/>
          <cell r="Z587"/>
        </row>
        <row r="588">
          <cell r="A588"/>
          <cell r="J588" t="str">
            <v>Autres TP</v>
          </cell>
          <cell r="K588">
            <v>72</v>
          </cell>
          <cell r="L588"/>
          <cell r="M588"/>
          <cell r="N588"/>
          <cell r="O588" t="str">
            <v>Débit Parafe</v>
          </cell>
          <cell r="P588">
            <v>1160</v>
          </cell>
          <cell r="Q588">
            <v>1160</v>
          </cell>
          <cell r="R588">
            <v>1160</v>
          </cell>
          <cell r="S588">
            <v>1160</v>
          </cell>
          <cell r="T588">
            <v>1160</v>
          </cell>
          <cell r="U588">
            <v>1392</v>
          </cell>
          <cell r="V588">
            <v>1392</v>
          </cell>
          <cell r="W588">
            <v>1296</v>
          </cell>
          <cell r="X588">
            <v>1296</v>
          </cell>
          <cell r="Y588"/>
          <cell r="Z588"/>
        </row>
        <row r="589">
          <cell r="A589"/>
          <cell r="J589" t="str">
            <v>Résultante unitaire</v>
          </cell>
          <cell r="K589"/>
          <cell r="L589"/>
          <cell r="N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</row>
        <row r="590">
          <cell r="A590"/>
          <cell r="J590" t="str">
            <v>PM</v>
          </cell>
          <cell r="K590">
            <v>0.46599999999999997</v>
          </cell>
          <cell r="L590">
            <v>0.53400000000000003</v>
          </cell>
          <cell r="M590"/>
          <cell r="N590"/>
          <cell r="O590" t="str">
            <v>Débit PAF Gal K &gt; F</v>
          </cell>
          <cell r="P590">
            <v>2632</v>
          </cell>
          <cell r="Q590">
            <v>2744</v>
          </cell>
          <cell r="R590">
            <v>2744</v>
          </cell>
          <cell r="S590">
            <v>2744</v>
          </cell>
          <cell r="T590">
            <v>2744</v>
          </cell>
          <cell r="U590">
            <v>2976</v>
          </cell>
          <cell r="V590">
            <v>2976</v>
          </cell>
          <cell r="W590">
            <v>2272</v>
          </cell>
          <cell r="X590">
            <v>2272</v>
          </cell>
          <cell r="Y590"/>
          <cell r="Z590"/>
        </row>
        <row r="591">
          <cell r="A591"/>
          <cell r="J591" t="str">
            <v>TTU</v>
          </cell>
          <cell r="K591">
            <v>47.27896995708155</v>
          </cell>
          <cell r="L591">
            <v>30.999999999999996</v>
          </cell>
          <cell r="M591"/>
          <cell r="N591"/>
          <cell r="P591"/>
          <cell r="Q591"/>
          <cell r="R591"/>
          <cell r="S591"/>
          <cell r="T591"/>
          <cell r="U591"/>
          <cell r="V591"/>
        </row>
        <row r="592">
          <cell r="A592"/>
          <cell r="J592" t="str">
            <v xml:space="preserve">Débit unitaire </v>
          </cell>
          <cell r="K592">
            <v>76.143790849673195</v>
          </cell>
          <cell r="L592">
            <v>116.12903225806453</v>
          </cell>
          <cell r="M592"/>
          <cell r="N592"/>
          <cell r="P592"/>
          <cell r="Q592"/>
          <cell r="R592"/>
          <cell r="S592"/>
          <cell r="T592"/>
          <cell r="U592"/>
          <cell r="V592"/>
        </row>
        <row r="593">
          <cell r="A593"/>
          <cell r="J593"/>
          <cell r="K593"/>
          <cell r="L593"/>
          <cell r="M593"/>
          <cell r="N593"/>
        </row>
        <row r="594">
          <cell r="A594"/>
          <cell r="P594"/>
          <cell r="Q594"/>
          <cell r="R594"/>
          <cell r="S594"/>
          <cell r="T594"/>
          <cell r="U594"/>
          <cell r="V594"/>
        </row>
        <row r="595">
          <cell r="A595"/>
          <cell r="H595" t="str">
            <v>Avec EES</v>
          </cell>
          <cell r="I595"/>
          <cell r="J595"/>
          <cell r="K595"/>
          <cell r="L595"/>
          <cell r="P595"/>
          <cell r="Q595"/>
          <cell r="R595"/>
          <cell r="S595"/>
          <cell r="T595"/>
          <cell r="U595"/>
          <cell r="V595"/>
        </row>
        <row r="596">
          <cell r="A596"/>
          <cell r="H596" t="str">
            <v>QP Passeports</v>
          </cell>
          <cell r="I596"/>
          <cell r="J596" t="str">
            <v>Gal K -&gt; F</v>
          </cell>
          <cell r="K596" t="str">
            <v>Aubette</v>
          </cell>
          <cell r="L596" t="str">
            <v>Parafe</v>
          </cell>
          <cell r="M596"/>
          <cell r="P596"/>
          <cell r="Q596"/>
          <cell r="R596"/>
          <cell r="S596"/>
          <cell r="T596"/>
          <cell r="U596"/>
          <cell r="V596"/>
        </row>
        <row r="597">
          <cell r="A597"/>
          <cell r="H597" t="str">
            <v>UE</v>
          </cell>
          <cell r="I597">
            <v>0.48</v>
          </cell>
          <cell r="J597" t="str">
            <v>Part modale</v>
          </cell>
          <cell r="K597"/>
          <cell r="L597"/>
          <cell r="P597"/>
          <cell r="Q597"/>
          <cell r="R597"/>
          <cell r="S597"/>
          <cell r="T597"/>
          <cell r="U597"/>
          <cell r="V597"/>
        </row>
        <row r="598">
          <cell r="A598"/>
          <cell r="H598" t="str">
            <v>RPT13</v>
          </cell>
          <cell r="I598">
            <v>0.38</v>
          </cell>
          <cell r="J598" t="str">
            <v>UE</v>
          </cell>
          <cell r="K598">
            <v>0.21</v>
          </cell>
          <cell r="L598">
            <v>0.79</v>
          </cell>
          <cell r="M598"/>
          <cell r="P598"/>
          <cell r="Q598"/>
          <cell r="R598"/>
          <cell r="S598"/>
          <cell r="T598"/>
          <cell r="U598"/>
          <cell r="V598"/>
        </row>
        <row r="599">
          <cell r="A599"/>
          <cell r="H599" t="str">
            <v>Autres TP</v>
          </cell>
          <cell r="I599">
            <v>0.14000000000000001</v>
          </cell>
          <cell r="J599" t="str">
            <v>RPT13</v>
          </cell>
          <cell r="K599">
            <v>0.32</v>
          </cell>
          <cell r="L599">
            <v>0.68</v>
          </cell>
          <cell r="M599"/>
          <cell r="P599"/>
          <cell r="Q599"/>
          <cell r="R599"/>
          <cell r="S599"/>
          <cell r="T599"/>
          <cell r="U599"/>
          <cell r="V599"/>
        </row>
        <row r="600">
          <cell r="A600"/>
          <cell r="I600"/>
          <cell r="J600" t="str">
            <v>Autres TP</v>
          </cell>
          <cell r="K600">
            <v>1</v>
          </cell>
          <cell r="L600"/>
          <cell r="M600"/>
          <cell r="P600"/>
          <cell r="Q600"/>
          <cell r="R600"/>
          <cell r="S600"/>
          <cell r="T600"/>
          <cell r="U600"/>
          <cell r="V600"/>
        </row>
        <row r="601">
          <cell r="A601"/>
          <cell r="J601" t="str">
            <v>TTU</v>
          </cell>
          <cell r="K601"/>
          <cell r="L601"/>
          <cell r="P601"/>
          <cell r="Q601"/>
          <cell r="R601"/>
          <cell r="S601"/>
          <cell r="T601"/>
          <cell r="U601"/>
          <cell r="V601"/>
        </row>
        <row r="602">
          <cell r="A602"/>
          <cell r="J602" t="str">
            <v>UE</v>
          </cell>
          <cell r="K602">
            <v>27</v>
          </cell>
          <cell r="L602">
            <v>31</v>
          </cell>
          <cell r="M602"/>
          <cell r="P602"/>
          <cell r="Q602"/>
          <cell r="R602"/>
          <cell r="S602"/>
          <cell r="T602"/>
          <cell r="U602"/>
          <cell r="V602"/>
        </row>
        <row r="603">
          <cell r="A603"/>
          <cell r="J603" t="str">
            <v>RPT13</v>
          </cell>
          <cell r="K603">
            <v>72</v>
          </cell>
          <cell r="L603">
            <v>37</v>
          </cell>
          <cell r="P603"/>
          <cell r="Q603"/>
          <cell r="R603"/>
          <cell r="S603"/>
          <cell r="T603"/>
          <cell r="U603"/>
          <cell r="V603"/>
        </row>
        <row r="604">
          <cell r="A604"/>
          <cell r="J604" t="str">
            <v>Autres TP</v>
          </cell>
          <cell r="K604">
            <v>72</v>
          </cell>
          <cell r="L604"/>
          <cell r="M604"/>
          <cell r="P604"/>
          <cell r="Q604"/>
          <cell r="R604"/>
          <cell r="S604"/>
          <cell r="T604"/>
          <cell r="U604"/>
          <cell r="V604"/>
        </row>
        <row r="605">
          <cell r="A605"/>
          <cell r="J605" t="str">
            <v>Résultante unitaire</v>
          </cell>
          <cell r="K605"/>
          <cell r="L605"/>
          <cell r="P605"/>
          <cell r="Q605"/>
          <cell r="R605"/>
          <cell r="S605"/>
          <cell r="T605"/>
          <cell r="U605"/>
          <cell r="V605"/>
        </row>
        <row r="606">
          <cell r="A606"/>
          <cell r="J606" t="str">
            <v>PM</v>
          </cell>
          <cell r="K606">
            <v>0.3624</v>
          </cell>
          <cell r="L606">
            <v>0.63759999999999994</v>
          </cell>
          <cell r="M606"/>
          <cell r="P606"/>
          <cell r="Q606"/>
          <cell r="R606"/>
          <cell r="S606"/>
          <cell r="T606"/>
          <cell r="U606"/>
          <cell r="V606"/>
        </row>
        <row r="607">
          <cell r="A607"/>
          <cell r="J607" t="str">
            <v>TTU</v>
          </cell>
          <cell r="K607">
            <v>59.483443708609279</v>
          </cell>
          <cell r="L607">
            <v>33.431618569636136</v>
          </cell>
          <cell r="M607"/>
          <cell r="P607"/>
          <cell r="Q607"/>
          <cell r="R607"/>
          <cell r="S607"/>
          <cell r="T607"/>
          <cell r="U607"/>
          <cell r="V607"/>
        </row>
        <row r="608">
          <cell r="A608"/>
          <cell r="J608" t="str">
            <v xml:space="preserve">Débit unitaire </v>
          </cell>
          <cell r="K608">
            <v>60.521042084168329</v>
          </cell>
          <cell r="L608">
            <v>107.68249202477013</v>
          </cell>
          <cell r="M608"/>
          <cell r="P608"/>
          <cell r="Q608"/>
          <cell r="R608"/>
          <cell r="S608"/>
          <cell r="T608"/>
          <cell r="U608"/>
          <cell r="V608"/>
        </row>
        <row r="609">
          <cell r="A609"/>
          <cell r="I609"/>
          <cell r="J609"/>
          <cell r="K609"/>
          <cell r="L609"/>
          <cell r="M609"/>
          <cell r="P609"/>
          <cell r="Q609"/>
          <cell r="R609"/>
          <cell r="S609"/>
          <cell r="T609"/>
          <cell r="U609"/>
          <cell r="V609"/>
        </row>
        <row r="610">
          <cell r="A610"/>
          <cell r="I610"/>
          <cell r="J610"/>
          <cell r="K610"/>
          <cell r="L610"/>
          <cell r="M610"/>
          <cell r="P610"/>
          <cell r="Q610"/>
          <cell r="R610"/>
          <cell r="S610"/>
          <cell r="T610"/>
          <cell r="U610"/>
          <cell r="V610"/>
        </row>
        <row r="611">
          <cell r="A611"/>
          <cell r="I611"/>
          <cell r="J611"/>
          <cell r="K611"/>
          <cell r="L611"/>
          <cell r="M611"/>
          <cell r="N611"/>
        </row>
        <row r="612">
          <cell r="A612"/>
          <cell r="I612"/>
          <cell r="J612"/>
          <cell r="K612"/>
          <cell r="L612"/>
          <cell r="M612"/>
          <cell r="N612"/>
        </row>
        <row r="613">
          <cell r="A613"/>
          <cell r="H613" t="str">
            <v>Sans EES</v>
          </cell>
          <cell r="I613"/>
          <cell r="J613"/>
          <cell r="K613"/>
          <cell r="L613"/>
          <cell r="N613"/>
        </row>
        <row r="614">
          <cell r="A614"/>
          <cell r="H614" t="str">
            <v>QP Passeports</v>
          </cell>
          <cell r="I614"/>
          <cell r="J614" t="str">
            <v>ModP S3 -&gt; F</v>
          </cell>
          <cell r="K614" t="str">
            <v>Aubette</v>
          </cell>
          <cell r="L614" t="str">
            <v>Parafe</v>
          </cell>
          <cell r="M614"/>
          <cell r="N614"/>
          <cell r="O614" t="str">
            <v>T2E - PAF ModP S3 &gt; F</v>
          </cell>
          <cell r="P614" t="str">
            <v>W22</v>
          </cell>
          <cell r="Q614" t="str">
            <v>S23</v>
          </cell>
          <cell r="R614" t="str">
            <v>W23</v>
          </cell>
          <cell r="S614" t="str">
            <v>S24</v>
          </cell>
          <cell r="T614" t="str">
            <v>W24</v>
          </cell>
          <cell r="U614" t="str">
            <v>S25</v>
          </cell>
          <cell r="V614" t="str">
            <v>W25</v>
          </cell>
          <cell r="W614" t="str">
            <v>S26</v>
          </cell>
          <cell r="X614" t="str">
            <v>W26</v>
          </cell>
          <cell r="Y614" t="str">
            <v>S27</v>
          </cell>
          <cell r="Z614" t="str">
            <v>W27</v>
          </cell>
        </row>
        <row r="615">
          <cell r="A615"/>
          <cell r="H615" t="str">
            <v>UE</v>
          </cell>
          <cell r="I615">
            <v>0.6</v>
          </cell>
          <cell r="J615" t="str">
            <v>Part modale</v>
          </cell>
          <cell r="K615"/>
          <cell r="L615"/>
          <cell r="N615"/>
        </row>
        <row r="616">
          <cell r="A616"/>
          <cell r="H616" t="str">
            <v>RPT13</v>
          </cell>
          <cell r="I616">
            <v>0.28999999999999998</v>
          </cell>
          <cell r="J616" t="str">
            <v>UE</v>
          </cell>
          <cell r="K616">
            <v>0.4</v>
          </cell>
          <cell r="L616">
            <v>0.6</v>
          </cell>
          <cell r="M616"/>
          <cell r="N616"/>
          <cell r="O616" t="str">
            <v>NB position aubette</v>
          </cell>
          <cell r="P616">
            <v>4</v>
          </cell>
          <cell r="Q616">
            <v>4</v>
          </cell>
          <cell r="R616">
            <v>4</v>
          </cell>
          <cell r="S616">
            <v>4</v>
          </cell>
          <cell r="T616">
            <v>4</v>
          </cell>
          <cell r="U616">
            <v>4</v>
          </cell>
          <cell r="V616">
            <v>4</v>
          </cell>
          <cell r="W616">
            <v>4</v>
          </cell>
          <cell r="X616">
            <v>4</v>
          </cell>
          <cell r="Y616"/>
          <cell r="Z616"/>
        </row>
        <row r="617">
          <cell r="A617"/>
          <cell r="H617" t="str">
            <v>Autres TP</v>
          </cell>
          <cell r="I617">
            <v>0.11000000000000004</v>
          </cell>
          <cell r="J617" t="str">
            <v>RPT13</v>
          </cell>
          <cell r="K617">
            <v>0.4</v>
          </cell>
          <cell r="L617">
            <v>0.6</v>
          </cell>
          <cell r="M617"/>
          <cell r="N617"/>
          <cell r="O617" t="str">
            <v>Débit unitaire</v>
          </cell>
          <cell r="P617">
            <v>90</v>
          </cell>
          <cell r="Q617">
            <v>97</v>
          </cell>
          <cell r="R617">
            <v>97</v>
          </cell>
          <cell r="S617">
            <v>97</v>
          </cell>
          <cell r="T617">
            <v>97</v>
          </cell>
          <cell r="U617">
            <v>97</v>
          </cell>
          <cell r="V617">
            <v>97</v>
          </cell>
          <cell r="W617">
            <v>61</v>
          </cell>
          <cell r="X617">
            <v>61</v>
          </cell>
          <cell r="Y617"/>
          <cell r="Z617"/>
        </row>
        <row r="618">
          <cell r="A618"/>
          <cell r="I618"/>
          <cell r="J618" t="str">
            <v>Autres TP</v>
          </cell>
          <cell r="K618">
            <v>1</v>
          </cell>
          <cell r="L618"/>
          <cell r="M618"/>
          <cell r="N618"/>
          <cell r="O618" t="str">
            <v>Débit Aubette</v>
          </cell>
          <cell r="P618">
            <v>360</v>
          </cell>
          <cell r="Q618">
            <v>388</v>
          </cell>
          <cell r="R618">
            <v>388</v>
          </cell>
          <cell r="S618">
            <v>388</v>
          </cell>
          <cell r="T618">
            <v>388</v>
          </cell>
          <cell r="U618">
            <v>388</v>
          </cell>
          <cell r="V618">
            <v>388</v>
          </cell>
          <cell r="W618">
            <v>244</v>
          </cell>
          <cell r="X618">
            <v>244</v>
          </cell>
          <cell r="Y618"/>
          <cell r="Z618"/>
        </row>
        <row r="619">
          <cell r="A619"/>
          <cell r="J619" t="str">
            <v>TTU</v>
          </cell>
          <cell r="K619"/>
          <cell r="L619"/>
          <cell r="N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</row>
        <row r="620">
          <cell r="A620"/>
          <cell r="J620" t="str">
            <v>UE</v>
          </cell>
          <cell r="K620">
            <v>27</v>
          </cell>
          <cell r="L620">
            <v>31</v>
          </cell>
          <cell r="M620"/>
          <cell r="N620"/>
          <cell r="O620" t="str">
            <v>NB Parafes</v>
          </cell>
          <cell r="P620">
            <v>5</v>
          </cell>
          <cell r="Q620">
            <v>5</v>
          </cell>
          <cell r="R620">
            <v>5</v>
          </cell>
          <cell r="S620">
            <v>6</v>
          </cell>
          <cell r="T620">
            <v>6</v>
          </cell>
          <cell r="U620">
            <v>6</v>
          </cell>
          <cell r="V620">
            <v>6</v>
          </cell>
          <cell r="W620">
            <v>6</v>
          </cell>
          <cell r="X620">
            <v>6</v>
          </cell>
          <cell r="Y620"/>
          <cell r="Z620"/>
        </row>
        <row r="621">
          <cell r="A621"/>
          <cell r="J621" t="str">
            <v>RPT13</v>
          </cell>
          <cell r="K621">
            <v>47.6</v>
          </cell>
          <cell r="L621">
            <v>31</v>
          </cell>
          <cell r="N621"/>
          <cell r="O621" t="str">
            <v>Débit unitaire</v>
          </cell>
          <cell r="P621">
            <v>116</v>
          </cell>
          <cell r="Q621">
            <v>116</v>
          </cell>
          <cell r="R621">
            <v>116</v>
          </cell>
          <cell r="S621">
            <v>116</v>
          </cell>
          <cell r="T621">
            <v>116</v>
          </cell>
          <cell r="U621">
            <v>116</v>
          </cell>
          <cell r="V621">
            <v>116</v>
          </cell>
          <cell r="W621">
            <v>108</v>
          </cell>
          <cell r="X621">
            <v>108</v>
          </cell>
          <cell r="Y621"/>
          <cell r="Z621"/>
        </row>
        <row r="622">
          <cell r="A622"/>
          <cell r="J622" t="str">
            <v>Autres TP</v>
          </cell>
          <cell r="K622">
            <v>47.6</v>
          </cell>
          <cell r="L622"/>
          <cell r="M622"/>
          <cell r="N622"/>
          <cell r="O622" t="str">
            <v>Débit Parafe</v>
          </cell>
          <cell r="P622">
            <v>580</v>
          </cell>
          <cell r="Q622">
            <v>580</v>
          </cell>
          <cell r="R622">
            <v>580</v>
          </cell>
          <cell r="S622">
            <v>696</v>
          </cell>
          <cell r="T622">
            <v>696</v>
          </cell>
          <cell r="U622">
            <v>696</v>
          </cell>
          <cell r="V622">
            <v>696</v>
          </cell>
          <cell r="W622">
            <v>648</v>
          </cell>
          <cell r="X622">
            <v>648</v>
          </cell>
          <cell r="Y622"/>
          <cell r="Z622"/>
        </row>
        <row r="623">
          <cell r="A623"/>
          <cell r="J623" t="str">
            <v>Résultante unitaire</v>
          </cell>
          <cell r="K623"/>
          <cell r="L623"/>
          <cell r="N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</row>
        <row r="624">
          <cell r="A624"/>
          <cell r="J624" t="str">
            <v>PM</v>
          </cell>
          <cell r="K624">
            <v>0.46600000000000003</v>
          </cell>
          <cell r="L624">
            <v>0.53400000000000003</v>
          </cell>
          <cell r="M624"/>
          <cell r="N624"/>
          <cell r="O624" t="str">
            <v>Débit PAF ModP S3 &gt; F</v>
          </cell>
          <cell r="P624">
            <v>940</v>
          </cell>
          <cell r="Q624">
            <v>968</v>
          </cell>
          <cell r="R624">
            <v>968</v>
          </cell>
          <cell r="S624">
            <v>1084</v>
          </cell>
          <cell r="T624">
            <v>1084</v>
          </cell>
          <cell r="U624">
            <v>1084</v>
          </cell>
          <cell r="V624">
            <v>1084</v>
          </cell>
          <cell r="W624">
            <v>892</v>
          </cell>
          <cell r="X624">
            <v>892</v>
          </cell>
          <cell r="Y624"/>
          <cell r="Z624"/>
        </row>
        <row r="625">
          <cell r="A625"/>
          <cell r="J625" t="str">
            <v>TTU</v>
          </cell>
          <cell r="K625">
            <v>36.990557939914162</v>
          </cell>
          <cell r="L625">
            <v>30.999999999999996</v>
          </cell>
          <cell r="M625"/>
          <cell r="N625"/>
        </row>
        <row r="626">
          <cell r="A626"/>
          <cell r="J626" t="str">
            <v xml:space="preserve">Débit unitaire </v>
          </cell>
          <cell r="K626">
            <v>97.322133011556133</v>
          </cell>
          <cell r="L626">
            <v>116.12903225806453</v>
          </cell>
          <cell r="M626"/>
          <cell r="N626"/>
        </row>
        <row r="627">
          <cell r="A627"/>
          <cell r="J627"/>
          <cell r="K627"/>
          <cell r="L627"/>
          <cell r="M627"/>
          <cell r="N627"/>
        </row>
        <row r="628">
          <cell r="A628"/>
          <cell r="J628"/>
          <cell r="K628"/>
          <cell r="L628"/>
          <cell r="M628"/>
          <cell r="N628"/>
        </row>
        <row r="629">
          <cell r="A629"/>
          <cell r="H629" t="str">
            <v>Avec EES</v>
          </cell>
          <cell r="I629"/>
          <cell r="J629"/>
          <cell r="K629"/>
          <cell r="L629"/>
          <cell r="P629"/>
          <cell r="Q629"/>
          <cell r="R629"/>
          <cell r="S629"/>
          <cell r="T629"/>
          <cell r="U629"/>
          <cell r="V629"/>
        </row>
        <row r="630">
          <cell r="A630"/>
          <cell r="H630" t="str">
            <v>QP Passeports</v>
          </cell>
          <cell r="I630"/>
          <cell r="J630" t="str">
            <v>ModP S3 -&gt; F</v>
          </cell>
          <cell r="K630" t="str">
            <v>Aubette</v>
          </cell>
          <cell r="L630" t="str">
            <v>Parafe</v>
          </cell>
          <cell r="M630"/>
          <cell r="P630"/>
          <cell r="Q630"/>
          <cell r="R630"/>
          <cell r="S630"/>
          <cell r="T630"/>
          <cell r="U630"/>
          <cell r="V630"/>
        </row>
        <row r="631">
          <cell r="A631"/>
          <cell r="H631" t="str">
            <v>UE</v>
          </cell>
          <cell r="I631">
            <v>0.48</v>
          </cell>
          <cell r="J631" t="str">
            <v>Part modale</v>
          </cell>
          <cell r="K631"/>
          <cell r="L631"/>
          <cell r="P631"/>
          <cell r="Q631"/>
          <cell r="R631"/>
          <cell r="S631"/>
          <cell r="T631"/>
          <cell r="U631"/>
          <cell r="V631"/>
        </row>
        <row r="632">
          <cell r="A632"/>
          <cell r="H632" t="str">
            <v>RPT13</v>
          </cell>
          <cell r="I632">
            <v>0.38</v>
          </cell>
          <cell r="J632" t="str">
            <v>UE</v>
          </cell>
          <cell r="K632">
            <v>0.21</v>
          </cell>
          <cell r="L632">
            <v>0.79</v>
          </cell>
          <cell r="M632"/>
          <cell r="P632"/>
          <cell r="Q632"/>
          <cell r="R632"/>
          <cell r="S632"/>
          <cell r="T632"/>
          <cell r="U632"/>
          <cell r="V632"/>
        </row>
        <row r="633">
          <cell r="A633"/>
          <cell r="H633" t="str">
            <v>Autres TP</v>
          </cell>
          <cell r="I633">
            <v>0.14000000000000001</v>
          </cell>
          <cell r="J633" t="str">
            <v>RPT13</v>
          </cell>
          <cell r="K633">
            <v>0.32</v>
          </cell>
          <cell r="L633">
            <v>0.68</v>
          </cell>
          <cell r="M633"/>
          <cell r="P633"/>
          <cell r="Q633"/>
          <cell r="R633"/>
          <cell r="S633"/>
          <cell r="T633"/>
          <cell r="U633"/>
          <cell r="V633"/>
        </row>
        <row r="634">
          <cell r="A634"/>
          <cell r="I634"/>
          <cell r="J634" t="str">
            <v>Autres TP</v>
          </cell>
          <cell r="K634">
            <v>1</v>
          </cell>
          <cell r="L634"/>
          <cell r="M634"/>
          <cell r="P634"/>
          <cell r="Q634"/>
          <cell r="R634"/>
          <cell r="S634"/>
          <cell r="T634"/>
          <cell r="U634"/>
          <cell r="V634"/>
        </row>
        <row r="635">
          <cell r="A635"/>
          <cell r="J635" t="str">
            <v>TTU</v>
          </cell>
          <cell r="K635"/>
          <cell r="L635"/>
          <cell r="P635"/>
          <cell r="Q635"/>
          <cell r="R635"/>
          <cell r="S635"/>
          <cell r="T635"/>
          <cell r="U635"/>
          <cell r="V635"/>
        </row>
        <row r="636">
          <cell r="A636"/>
          <cell r="J636" t="str">
            <v>UE</v>
          </cell>
          <cell r="K636">
            <v>27</v>
          </cell>
          <cell r="L636">
            <v>31</v>
          </cell>
          <cell r="M636"/>
          <cell r="P636"/>
          <cell r="Q636"/>
          <cell r="R636"/>
          <cell r="S636"/>
          <cell r="T636"/>
          <cell r="U636"/>
          <cell r="V636"/>
        </row>
        <row r="637">
          <cell r="A637"/>
          <cell r="J637" t="str">
            <v>RPT13</v>
          </cell>
          <cell r="K637">
            <v>72</v>
          </cell>
          <cell r="L637">
            <v>37</v>
          </cell>
          <cell r="P637"/>
          <cell r="Q637"/>
          <cell r="R637"/>
          <cell r="S637"/>
          <cell r="T637"/>
          <cell r="U637"/>
          <cell r="V637"/>
        </row>
        <row r="638">
          <cell r="A638"/>
          <cell r="J638" t="str">
            <v>Autres TP</v>
          </cell>
          <cell r="K638">
            <v>72</v>
          </cell>
          <cell r="L638"/>
          <cell r="M638"/>
          <cell r="P638"/>
          <cell r="Q638"/>
          <cell r="R638"/>
          <cell r="S638"/>
          <cell r="T638"/>
          <cell r="U638"/>
          <cell r="V638"/>
        </row>
        <row r="639">
          <cell r="A639"/>
          <cell r="J639" t="str">
            <v>Résultante unitaire</v>
          </cell>
          <cell r="K639"/>
          <cell r="L639"/>
          <cell r="P639"/>
          <cell r="Q639"/>
          <cell r="R639"/>
          <cell r="S639"/>
          <cell r="T639"/>
          <cell r="U639"/>
          <cell r="V639"/>
        </row>
        <row r="640">
          <cell r="A640"/>
          <cell r="J640" t="str">
            <v>PM</v>
          </cell>
          <cell r="K640">
            <v>0.3624</v>
          </cell>
          <cell r="L640">
            <v>0.63759999999999994</v>
          </cell>
          <cell r="M640"/>
          <cell r="P640"/>
          <cell r="Q640"/>
          <cell r="R640"/>
          <cell r="S640"/>
          <cell r="T640"/>
          <cell r="U640"/>
          <cell r="V640"/>
        </row>
        <row r="641">
          <cell r="A641"/>
          <cell r="J641" t="str">
            <v>TTU</v>
          </cell>
          <cell r="K641">
            <v>59.483443708609279</v>
          </cell>
          <cell r="L641">
            <v>33.431618569636136</v>
          </cell>
          <cell r="M641"/>
          <cell r="P641"/>
          <cell r="Q641"/>
          <cell r="R641"/>
          <cell r="S641"/>
          <cell r="T641"/>
          <cell r="U641"/>
          <cell r="V641"/>
        </row>
        <row r="642">
          <cell r="A642"/>
          <cell r="J642" t="str">
            <v xml:space="preserve">Débit unitaire </v>
          </cell>
          <cell r="K642">
            <v>60.521042084168329</v>
          </cell>
          <cell r="L642">
            <v>107.68249202477013</v>
          </cell>
          <cell r="M642"/>
          <cell r="P642"/>
          <cell r="Q642"/>
          <cell r="R642"/>
          <cell r="S642"/>
          <cell r="T642"/>
          <cell r="U642"/>
          <cell r="V642"/>
        </row>
        <row r="643">
          <cell r="A643"/>
          <cell r="I643"/>
          <cell r="J643"/>
          <cell r="K643"/>
          <cell r="L643"/>
          <cell r="M643"/>
          <cell r="P643"/>
          <cell r="Q643"/>
          <cell r="R643"/>
          <cell r="S643"/>
          <cell r="T643"/>
          <cell r="U643"/>
          <cell r="V643"/>
        </row>
        <row r="644">
          <cell r="A644"/>
          <cell r="J644"/>
          <cell r="K644"/>
          <cell r="L644"/>
          <cell r="M644"/>
          <cell r="N644"/>
        </row>
        <row r="645">
          <cell r="A645"/>
          <cell r="J645"/>
          <cell r="K645"/>
          <cell r="L645"/>
          <cell r="M645"/>
          <cell r="N645"/>
        </row>
        <row r="646"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</row>
        <row r="647">
          <cell r="A647" t="str">
            <v>SLB</v>
          </cell>
          <cell r="I647"/>
          <cell r="J647"/>
          <cell r="K647"/>
          <cell r="L647"/>
          <cell r="M647"/>
          <cell r="N647"/>
        </row>
        <row r="648">
          <cell r="A648"/>
          <cell r="I648"/>
          <cell r="J648"/>
          <cell r="K648"/>
          <cell r="L648"/>
          <cell r="M648"/>
          <cell r="N648"/>
          <cell r="O648" t="str">
            <v>T2E - SLB</v>
          </cell>
          <cell r="P648" t="str">
            <v>W22</v>
          </cell>
          <cell r="Q648" t="str">
            <v>S23</v>
          </cell>
          <cell r="R648" t="str">
            <v>W23</v>
          </cell>
          <cell r="S648" t="str">
            <v>S24</v>
          </cell>
          <cell r="T648" t="str">
            <v>W24</v>
          </cell>
          <cell r="U648" t="str">
            <v>S25</v>
          </cell>
          <cell r="V648" t="str">
            <v>W25</v>
          </cell>
          <cell r="W648" t="str">
            <v>S26</v>
          </cell>
          <cell r="X648" t="str">
            <v>W26</v>
          </cell>
          <cell r="Y648" t="str">
            <v>S27</v>
          </cell>
          <cell r="Z648" t="str">
            <v>W27</v>
          </cell>
        </row>
        <row r="649">
          <cell r="A649"/>
        </row>
        <row r="650">
          <cell r="A650"/>
          <cell r="O650" t="str">
            <v>NB tapis</v>
          </cell>
          <cell r="P650">
            <v>8</v>
          </cell>
          <cell r="Q650">
            <v>8</v>
          </cell>
          <cell r="R650">
            <v>8</v>
          </cell>
          <cell r="S650">
            <v>8</v>
          </cell>
          <cell r="T650">
            <v>8</v>
          </cell>
          <cell r="U650">
            <v>8</v>
          </cell>
          <cell r="V650">
            <v>8</v>
          </cell>
          <cell r="W650">
            <v>8</v>
          </cell>
          <cell r="X650">
            <v>8</v>
          </cell>
          <cell r="Y650"/>
          <cell r="Z650"/>
        </row>
        <row r="651">
          <cell r="A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</row>
        <row r="652">
          <cell r="A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</row>
        <row r="653">
          <cell r="A653"/>
        </row>
        <row r="654">
          <cell r="A654"/>
        </row>
        <row r="655">
          <cell r="A655"/>
        </row>
        <row r="656">
          <cell r="A656"/>
        </row>
        <row r="657">
          <cell r="A657"/>
        </row>
        <row r="658">
          <cell r="A658"/>
        </row>
        <row r="659">
          <cell r="A659"/>
        </row>
        <row r="660">
          <cell r="A660"/>
        </row>
        <row r="661">
          <cell r="A661"/>
        </row>
        <row r="662">
          <cell r="A662"/>
        </row>
        <row r="663">
          <cell r="A663"/>
        </row>
        <row r="664">
          <cell r="A664"/>
        </row>
      </sheetData>
      <sheetData sheetId="7">
        <row r="1">
          <cell r="B1" t="str">
            <v>T2F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T2F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17.5</v>
          </cell>
          <cell r="Q6">
            <v>17.5</v>
          </cell>
          <cell r="R6">
            <v>17.5</v>
          </cell>
          <cell r="S6">
            <v>17.5</v>
          </cell>
          <cell r="T6">
            <v>17.5</v>
          </cell>
          <cell r="U6">
            <v>17.5</v>
          </cell>
          <cell r="V6">
            <v>17.5</v>
          </cell>
          <cell r="W6">
            <v>17.5</v>
          </cell>
          <cell r="X6">
            <v>17.5</v>
          </cell>
        </row>
        <row r="7">
          <cell r="A7"/>
          <cell r="O7" t="str">
            <v>Capacité Officielle TOTALE</v>
          </cell>
          <cell r="P7">
            <v>17.5</v>
          </cell>
          <cell r="Q7">
            <v>17.5</v>
          </cell>
          <cell r="R7">
            <v>17.5</v>
          </cell>
          <cell r="S7">
            <v>17.5</v>
          </cell>
          <cell r="T7">
            <v>17.5</v>
          </cell>
          <cell r="U7">
            <v>17.5</v>
          </cell>
          <cell r="V7">
            <v>17.5</v>
          </cell>
          <cell r="W7">
            <v>17.5</v>
          </cell>
          <cell r="X7">
            <v>17.5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2800</v>
          </cell>
          <cell r="Q11">
            <v>2800</v>
          </cell>
          <cell r="R11">
            <v>2800</v>
          </cell>
          <cell r="S11">
            <v>2800</v>
          </cell>
          <cell r="T11">
            <v>2800</v>
          </cell>
          <cell r="U11">
            <v>2800</v>
          </cell>
          <cell r="V11">
            <v>2800</v>
          </cell>
          <cell r="W11">
            <v>2800</v>
          </cell>
          <cell r="X11">
            <v>2800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T2F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714</v>
          </cell>
          <cell r="R20"/>
          <cell r="S20">
            <v>915</v>
          </cell>
          <cell r="T20"/>
          <cell r="U20">
            <v>792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3229</v>
          </cell>
          <cell r="R21"/>
          <cell r="S21">
            <v>2963</v>
          </cell>
          <cell r="T21"/>
          <cell r="U21">
            <v>3173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3535</v>
          </cell>
          <cell r="R22"/>
          <cell r="S22">
            <v>3264</v>
          </cell>
          <cell r="T22"/>
          <cell r="U22">
            <v>3478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QP utilisation</v>
          </cell>
          <cell r="P26">
            <v>0.27</v>
          </cell>
          <cell r="Q26">
            <v>0.27</v>
          </cell>
          <cell r="R26">
            <v>0.27</v>
          </cell>
          <cell r="S26">
            <v>0.27</v>
          </cell>
          <cell r="T26">
            <v>0.27</v>
          </cell>
          <cell r="U26">
            <v>0.3</v>
          </cell>
          <cell r="V26">
            <v>0.3</v>
          </cell>
          <cell r="W26">
            <v>0.3</v>
          </cell>
          <cell r="X26">
            <v>0.3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</row>
        <row r="28">
          <cell r="A28"/>
          <cell r="N28"/>
          <cell r="O28"/>
          <cell r="V28"/>
          <cell r="W28"/>
          <cell r="X28"/>
        </row>
        <row r="29">
          <cell r="A29"/>
          <cell r="N29" t="str">
            <v>PIF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/>
          <cell r="V33"/>
          <cell r="W33"/>
          <cell r="X33"/>
        </row>
        <row r="34">
          <cell r="A34"/>
          <cell r="N34" t="str">
            <v>EMB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</row>
        <row r="39">
          <cell r="A39"/>
        </row>
        <row r="40">
          <cell r="A40"/>
          <cell r="N40" t="str">
            <v>Seuil d'alerte proposé</v>
          </cell>
          <cell r="O40" t="str">
            <v>INTER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/>
        </row>
        <row r="41">
          <cell r="A41"/>
          <cell r="N41" t="str">
            <v>Seuil d'alerte proposé</v>
          </cell>
          <cell r="O41" t="str">
            <v>SCH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/>
        </row>
        <row r="42">
          <cell r="A42"/>
          <cell r="N42" t="str">
            <v>Seuil d'alerte proposé</v>
          </cell>
          <cell r="O42" t="str">
            <v>Global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9">
          <cell r="A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</row>
        <row r="50">
          <cell r="A50" t="str">
            <v>Enregistrement</v>
          </cell>
        </row>
        <row r="51">
          <cell r="A51"/>
          <cell r="N51" t="str">
            <v>T2F - Enregistrement NET</v>
          </cell>
          <cell r="O51"/>
          <cell r="P51" t="str">
            <v>W22</v>
          </cell>
          <cell r="Q51" t="str">
            <v>S23</v>
          </cell>
          <cell r="R51" t="str">
            <v>W23</v>
          </cell>
          <cell r="S51" t="str">
            <v>S24</v>
          </cell>
          <cell r="T51" t="str">
            <v>W24</v>
          </cell>
          <cell r="U51" t="str">
            <v>S25</v>
          </cell>
          <cell r="V51" t="str">
            <v>W25</v>
          </cell>
          <cell r="W51" t="str">
            <v>S26</v>
          </cell>
          <cell r="X51" t="str">
            <v>W26</v>
          </cell>
        </row>
        <row r="52">
          <cell r="A52"/>
          <cell r="L52" t="str">
            <v xml:space="preserve"> </v>
          </cell>
          <cell r="N52" t="str">
            <v>GB 1</v>
          </cell>
          <cell r="O52" t="str">
            <v>Banques</v>
          </cell>
          <cell r="P52">
            <v>5</v>
          </cell>
          <cell r="Q52">
            <v>5</v>
          </cell>
          <cell r="R52">
            <v>5</v>
          </cell>
          <cell r="S52">
            <v>5</v>
          </cell>
          <cell r="T52">
            <v>5</v>
          </cell>
          <cell r="U52">
            <v>5</v>
          </cell>
          <cell r="V52">
            <v>5</v>
          </cell>
          <cell r="W52">
            <v>5</v>
          </cell>
          <cell r="X52">
            <v>5</v>
          </cell>
        </row>
        <row r="53">
          <cell r="A53"/>
          <cell r="N53"/>
          <cell r="O53" t="str">
            <v>DBA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/>
          <cell r="N54"/>
          <cell r="O54" t="str">
            <v>TS6</v>
          </cell>
          <cell r="P54">
            <v>6</v>
          </cell>
          <cell r="Q54">
            <v>6</v>
          </cell>
          <cell r="R54">
            <v>6</v>
          </cell>
          <cell r="S54">
            <v>6</v>
          </cell>
          <cell r="T54">
            <v>6</v>
          </cell>
          <cell r="U54">
            <v>6</v>
          </cell>
          <cell r="V54">
            <v>6</v>
          </cell>
          <cell r="W54">
            <v>6</v>
          </cell>
          <cell r="X54">
            <v>6</v>
          </cell>
        </row>
        <row r="55">
          <cell r="A55"/>
          <cell r="N55" t="str">
            <v>GB 2</v>
          </cell>
          <cell r="O55" t="str">
            <v>Banques</v>
          </cell>
          <cell r="P55">
            <v>13</v>
          </cell>
          <cell r="Q55">
            <v>13</v>
          </cell>
          <cell r="R55">
            <v>13</v>
          </cell>
          <cell r="S55">
            <v>13</v>
          </cell>
          <cell r="T55">
            <v>13</v>
          </cell>
          <cell r="U55">
            <v>13</v>
          </cell>
          <cell r="V55">
            <v>13</v>
          </cell>
          <cell r="W55">
            <v>13</v>
          </cell>
          <cell r="X55">
            <v>13</v>
          </cell>
        </row>
        <row r="56">
          <cell r="A56"/>
          <cell r="N56"/>
          <cell r="O56" t="str">
            <v>DBA</v>
          </cell>
          <cell r="P56">
            <v>2</v>
          </cell>
          <cell r="Q56">
            <v>2</v>
          </cell>
          <cell r="R56">
            <v>2</v>
          </cell>
          <cell r="S56">
            <v>2</v>
          </cell>
          <cell r="T56">
            <v>2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</row>
        <row r="57">
          <cell r="A57"/>
          <cell r="N57"/>
          <cell r="O57" t="str">
            <v>TS6</v>
          </cell>
          <cell r="P57">
            <v>3</v>
          </cell>
          <cell r="Q57">
            <v>3</v>
          </cell>
          <cell r="R57">
            <v>3</v>
          </cell>
          <cell r="S57">
            <v>3</v>
          </cell>
          <cell r="T57">
            <v>3</v>
          </cell>
          <cell r="U57">
            <v>3</v>
          </cell>
          <cell r="V57">
            <v>3</v>
          </cell>
          <cell r="W57">
            <v>3</v>
          </cell>
          <cell r="X57">
            <v>3</v>
          </cell>
        </row>
        <row r="58">
          <cell r="A58"/>
          <cell r="N58" t="str">
            <v>GB 3</v>
          </cell>
          <cell r="O58" t="str">
            <v>Banques</v>
          </cell>
          <cell r="P58">
            <v>14</v>
          </cell>
          <cell r="Q58">
            <v>14</v>
          </cell>
          <cell r="R58">
            <v>14</v>
          </cell>
          <cell r="S58">
            <v>14</v>
          </cell>
          <cell r="T58">
            <v>14</v>
          </cell>
          <cell r="U58">
            <v>14</v>
          </cell>
          <cell r="V58">
            <v>14</v>
          </cell>
          <cell r="W58">
            <v>14</v>
          </cell>
          <cell r="X58">
            <v>14</v>
          </cell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/>
          <cell r="N60"/>
          <cell r="O60" t="str">
            <v>TS6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  <cell r="T60">
            <v>6</v>
          </cell>
          <cell r="U60">
            <v>6</v>
          </cell>
          <cell r="V60">
            <v>6</v>
          </cell>
          <cell r="W60">
            <v>6</v>
          </cell>
          <cell r="X60">
            <v>6</v>
          </cell>
        </row>
        <row r="61">
          <cell r="A61"/>
          <cell r="N61" t="str">
            <v>GB 3B</v>
          </cell>
          <cell r="O61" t="str">
            <v>Banques</v>
          </cell>
          <cell r="P61">
            <v>8</v>
          </cell>
          <cell r="Q61">
            <v>8</v>
          </cell>
          <cell r="R61">
            <v>8</v>
          </cell>
          <cell r="S61">
            <v>8</v>
          </cell>
          <cell r="T61">
            <v>8</v>
          </cell>
          <cell r="U61">
            <v>8</v>
          </cell>
          <cell r="V61">
            <v>8</v>
          </cell>
          <cell r="W61">
            <v>8</v>
          </cell>
          <cell r="X61">
            <v>8</v>
          </cell>
        </row>
        <row r="62">
          <cell r="A62"/>
          <cell r="N62"/>
          <cell r="O62" t="str">
            <v>DBA</v>
          </cell>
          <cell r="P62">
            <v>7</v>
          </cell>
          <cell r="Q62">
            <v>7</v>
          </cell>
          <cell r="R62">
            <v>7</v>
          </cell>
          <cell r="S62">
            <v>7</v>
          </cell>
          <cell r="T62">
            <v>7</v>
          </cell>
          <cell r="U62">
            <v>7</v>
          </cell>
          <cell r="V62">
            <v>7</v>
          </cell>
          <cell r="W62">
            <v>7</v>
          </cell>
          <cell r="X62">
            <v>7</v>
          </cell>
        </row>
        <row r="63">
          <cell r="A63"/>
          <cell r="N63"/>
          <cell r="O63" t="str">
            <v>TS6</v>
          </cell>
          <cell r="P63">
            <v>8</v>
          </cell>
          <cell r="Q63">
            <v>8</v>
          </cell>
          <cell r="R63">
            <v>8</v>
          </cell>
          <cell r="S63">
            <v>8</v>
          </cell>
          <cell r="T63">
            <v>8</v>
          </cell>
          <cell r="U63">
            <v>8</v>
          </cell>
          <cell r="V63">
            <v>8</v>
          </cell>
          <cell r="W63">
            <v>8</v>
          </cell>
          <cell r="X63">
            <v>8</v>
          </cell>
        </row>
        <row r="64">
          <cell r="A64"/>
          <cell r="N64" t="str">
            <v>GB 4</v>
          </cell>
          <cell r="O64" t="str">
            <v>Banques</v>
          </cell>
          <cell r="P64">
            <v>8</v>
          </cell>
          <cell r="Q64">
            <v>8</v>
          </cell>
          <cell r="R64">
            <v>8</v>
          </cell>
          <cell r="S64">
            <v>8</v>
          </cell>
          <cell r="T64">
            <v>8</v>
          </cell>
          <cell r="U64">
            <v>8</v>
          </cell>
          <cell r="V64">
            <v>8</v>
          </cell>
          <cell r="W64">
            <v>8</v>
          </cell>
          <cell r="X64">
            <v>8</v>
          </cell>
        </row>
        <row r="65">
          <cell r="A65"/>
          <cell r="N65"/>
          <cell r="O65" t="str">
            <v>DBA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/>
          <cell r="N66"/>
          <cell r="O66" t="str">
            <v>TS6</v>
          </cell>
          <cell r="P66">
            <v>6</v>
          </cell>
          <cell r="Q66">
            <v>6</v>
          </cell>
          <cell r="R66">
            <v>6</v>
          </cell>
          <cell r="S66">
            <v>6</v>
          </cell>
          <cell r="T66">
            <v>6</v>
          </cell>
          <cell r="U66">
            <v>6</v>
          </cell>
          <cell r="V66">
            <v>6</v>
          </cell>
          <cell r="W66">
            <v>6</v>
          </cell>
          <cell r="X66">
            <v>6</v>
          </cell>
        </row>
        <row r="67">
          <cell r="A67"/>
          <cell r="N67" t="str">
            <v>GB 5</v>
          </cell>
          <cell r="O67" t="str">
            <v>Banques</v>
          </cell>
          <cell r="P67">
            <v>14</v>
          </cell>
          <cell r="Q67">
            <v>14</v>
          </cell>
          <cell r="R67">
            <v>14</v>
          </cell>
          <cell r="S67">
            <v>14</v>
          </cell>
          <cell r="T67">
            <v>14</v>
          </cell>
          <cell r="U67">
            <v>14</v>
          </cell>
          <cell r="V67">
            <v>14</v>
          </cell>
          <cell r="W67">
            <v>14</v>
          </cell>
          <cell r="X67">
            <v>14</v>
          </cell>
        </row>
        <row r="68">
          <cell r="A68"/>
          <cell r="N68"/>
          <cell r="O68" t="str">
            <v>DBA</v>
          </cell>
          <cell r="P68">
            <v>12</v>
          </cell>
          <cell r="Q68">
            <v>12</v>
          </cell>
          <cell r="R68">
            <v>12</v>
          </cell>
          <cell r="S68">
            <v>12</v>
          </cell>
          <cell r="T68">
            <v>12</v>
          </cell>
          <cell r="U68">
            <v>12</v>
          </cell>
          <cell r="V68">
            <v>12</v>
          </cell>
          <cell r="W68">
            <v>12</v>
          </cell>
          <cell r="X68">
            <v>12</v>
          </cell>
        </row>
        <row r="69">
          <cell r="A69"/>
          <cell r="N69"/>
          <cell r="O69" t="str">
            <v>TS6</v>
          </cell>
          <cell r="P69">
            <v>18</v>
          </cell>
          <cell r="Q69">
            <v>18</v>
          </cell>
          <cell r="R69">
            <v>18</v>
          </cell>
          <cell r="S69">
            <v>18</v>
          </cell>
          <cell r="T69">
            <v>18</v>
          </cell>
          <cell r="U69">
            <v>18</v>
          </cell>
          <cell r="V69">
            <v>18</v>
          </cell>
          <cell r="W69">
            <v>18</v>
          </cell>
          <cell r="X69">
            <v>18</v>
          </cell>
        </row>
        <row r="70">
          <cell r="A70"/>
          <cell r="N70" t="str">
            <v>GB 6</v>
          </cell>
          <cell r="O70" t="str">
            <v>Banques</v>
          </cell>
          <cell r="P70">
            <v>14</v>
          </cell>
          <cell r="Q70">
            <v>14</v>
          </cell>
          <cell r="R70">
            <v>14</v>
          </cell>
          <cell r="S70">
            <v>14</v>
          </cell>
          <cell r="T70">
            <v>14</v>
          </cell>
          <cell r="U70">
            <v>14</v>
          </cell>
          <cell r="V70">
            <v>14</v>
          </cell>
          <cell r="W70">
            <v>14</v>
          </cell>
          <cell r="X70">
            <v>14</v>
          </cell>
        </row>
        <row r="71">
          <cell r="A71"/>
          <cell r="N71"/>
          <cell r="O71" t="str">
            <v>DBA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TS6</v>
          </cell>
          <cell r="P72">
            <v>14</v>
          </cell>
          <cell r="Q72">
            <v>14</v>
          </cell>
          <cell r="R72">
            <v>14</v>
          </cell>
          <cell r="S72">
            <v>14</v>
          </cell>
          <cell r="T72">
            <v>14</v>
          </cell>
          <cell r="U72">
            <v>14</v>
          </cell>
          <cell r="V72">
            <v>14</v>
          </cell>
          <cell r="W72">
            <v>14</v>
          </cell>
          <cell r="X72">
            <v>14</v>
          </cell>
        </row>
        <row r="73">
          <cell r="A73"/>
          <cell r="N73" t="str">
            <v>GB 7</v>
          </cell>
          <cell r="O73" t="str">
            <v>Banques</v>
          </cell>
          <cell r="P73">
            <v>8</v>
          </cell>
          <cell r="Q73">
            <v>8</v>
          </cell>
          <cell r="R73">
            <v>8</v>
          </cell>
          <cell r="S73">
            <v>8</v>
          </cell>
          <cell r="T73">
            <v>8</v>
          </cell>
          <cell r="U73">
            <v>8</v>
          </cell>
          <cell r="V73">
            <v>8</v>
          </cell>
          <cell r="W73">
            <v>8</v>
          </cell>
          <cell r="X73">
            <v>8</v>
          </cell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/>
          <cell r="N76" t="str">
            <v>GLOBAL</v>
          </cell>
          <cell r="O76" t="str">
            <v>NB Banques</v>
          </cell>
          <cell r="P76">
            <v>84</v>
          </cell>
          <cell r="Q76">
            <v>84</v>
          </cell>
          <cell r="R76">
            <v>84</v>
          </cell>
          <cell r="S76">
            <v>84</v>
          </cell>
          <cell r="T76">
            <v>84</v>
          </cell>
          <cell r="U76">
            <v>84</v>
          </cell>
          <cell r="V76">
            <v>84</v>
          </cell>
          <cell r="W76">
            <v>84</v>
          </cell>
          <cell r="X76">
            <v>84</v>
          </cell>
        </row>
        <row r="77">
          <cell r="A77"/>
          <cell r="N77"/>
          <cell r="O77" t="str">
            <v>NB DBA</v>
          </cell>
          <cell r="P77">
            <v>33</v>
          </cell>
          <cell r="Q77">
            <v>33</v>
          </cell>
          <cell r="R77">
            <v>33</v>
          </cell>
          <cell r="S77">
            <v>33</v>
          </cell>
          <cell r="T77">
            <v>33</v>
          </cell>
          <cell r="U77">
            <v>33</v>
          </cell>
          <cell r="V77">
            <v>33</v>
          </cell>
          <cell r="W77">
            <v>33</v>
          </cell>
          <cell r="X77">
            <v>33</v>
          </cell>
        </row>
        <row r="78">
          <cell r="A78"/>
          <cell r="N78"/>
          <cell r="O78" t="str">
            <v>NB TS6</v>
          </cell>
          <cell r="P78">
            <v>61</v>
          </cell>
          <cell r="Q78">
            <v>61</v>
          </cell>
          <cell r="R78">
            <v>61</v>
          </cell>
          <cell r="S78">
            <v>61</v>
          </cell>
          <cell r="T78">
            <v>61</v>
          </cell>
          <cell r="U78">
            <v>61</v>
          </cell>
          <cell r="V78">
            <v>61</v>
          </cell>
          <cell r="W78">
            <v>61</v>
          </cell>
          <cell r="X78">
            <v>61</v>
          </cell>
        </row>
        <row r="79">
          <cell r="A79"/>
          <cell r="N79"/>
          <cell r="O79"/>
        </row>
        <row r="80">
          <cell r="A80"/>
          <cell r="N80" t="str">
            <v>Débit</v>
          </cell>
          <cell r="P80">
            <v>30</v>
          </cell>
          <cell r="Q80">
            <v>30</v>
          </cell>
          <cell r="R80">
            <v>30</v>
          </cell>
          <cell r="S80">
            <v>30</v>
          </cell>
          <cell r="T80">
            <v>30</v>
          </cell>
          <cell r="U80">
            <v>30</v>
          </cell>
          <cell r="V80">
            <v>30</v>
          </cell>
          <cell r="W80">
            <v>30</v>
          </cell>
          <cell r="X80">
            <v>30</v>
          </cell>
        </row>
        <row r="81">
          <cell r="A81"/>
          <cell r="N81"/>
          <cell r="O81"/>
        </row>
        <row r="82">
          <cell r="A82"/>
          <cell r="N82" t="str">
            <v>Facteur déproductivité</v>
          </cell>
          <cell r="O82"/>
          <cell r="P82">
            <v>0.9</v>
          </cell>
          <cell r="Q82">
            <v>0.9</v>
          </cell>
          <cell r="R82">
            <v>0.9</v>
          </cell>
          <cell r="S82">
            <v>0.9</v>
          </cell>
          <cell r="T82">
            <v>0.9</v>
          </cell>
          <cell r="U82">
            <v>0.9</v>
          </cell>
          <cell r="V82">
            <v>0.9</v>
          </cell>
          <cell r="W82">
            <v>0.9</v>
          </cell>
          <cell r="X82">
            <v>0.9</v>
          </cell>
        </row>
        <row r="83">
          <cell r="A83"/>
          <cell r="N83"/>
          <cell r="O83"/>
        </row>
        <row r="84">
          <cell r="A84"/>
          <cell r="N84" t="str">
            <v>Débit Enregistrement</v>
          </cell>
          <cell r="O84"/>
          <cell r="P84">
            <v>2268</v>
          </cell>
          <cell r="Q84">
            <v>2268</v>
          </cell>
          <cell r="R84">
            <v>2268</v>
          </cell>
          <cell r="S84">
            <v>2268</v>
          </cell>
          <cell r="T84">
            <v>2268</v>
          </cell>
          <cell r="U84">
            <v>2268</v>
          </cell>
          <cell r="V84">
            <v>2268</v>
          </cell>
          <cell r="W84">
            <v>2268</v>
          </cell>
          <cell r="X84">
            <v>2268</v>
          </cell>
        </row>
        <row r="85">
          <cell r="A85"/>
          <cell r="N85"/>
          <cell r="O85"/>
        </row>
        <row r="86">
          <cell r="A86"/>
          <cell r="N86"/>
          <cell r="O86"/>
        </row>
        <row r="87">
          <cell r="A87"/>
          <cell r="N87"/>
          <cell r="O87"/>
        </row>
        <row r="88">
          <cell r="A88"/>
          <cell r="N88" t="str">
            <v>T2F - Surface</v>
          </cell>
          <cell r="O88"/>
          <cell r="P88" t="str">
            <v>W22</v>
          </cell>
          <cell r="Q88" t="str">
            <v>S23</v>
          </cell>
          <cell r="R88" t="str">
            <v>W23</v>
          </cell>
          <cell r="S88" t="str">
            <v>S24</v>
          </cell>
          <cell r="T88" t="str">
            <v>W24</v>
          </cell>
          <cell r="U88" t="str">
            <v>S25</v>
          </cell>
          <cell r="V88" t="str">
            <v>W25</v>
          </cell>
          <cell r="W88" t="str">
            <v>S26</v>
          </cell>
          <cell r="X88" t="str">
            <v>W26</v>
          </cell>
        </row>
        <row r="89">
          <cell r="A89"/>
          <cell r="N89" t="str">
            <v>GB 1</v>
          </cell>
          <cell r="O89"/>
        </row>
        <row r="90">
          <cell r="A90"/>
          <cell r="N90" t="str">
            <v>GB 2</v>
          </cell>
          <cell r="O90"/>
          <cell r="P90"/>
          <cell r="Q90"/>
          <cell r="R90"/>
          <cell r="S90"/>
          <cell r="T90"/>
          <cell r="U90"/>
          <cell r="V90"/>
          <cell r="W90"/>
        </row>
        <row r="91">
          <cell r="A91"/>
          <cell r="N91" t="str">
            <v>GB 3</v>
          </cell>
          <cell r="O91"/>
          <cell r="P91"/>
          <cell r="Q91"/>
          <cell r="R91"/>
          <cell r="S91"/>
          <cell r="T91"/>
          <cell r="U91"/>
          <cell r="V91"/>
          <cell r="W91"/>
        </row>
        <row r="92">
          <cell r="A92"/>
          <cell r="N92" t="str">
            <v>GB 3B</v>
          </cell>
          <cell r="O92"/>
          <cell r="P92"/>
          <cell r="Q92"/>
          <cell r="R92"/>
          <cell r="S92"/>
          <cell r="T92"/>
          <cell r="U92"/>
          <cell r="V92"/>
          <cell r="W92"/>
        </row>
        <row r="93">
          <cell r="A93"/>
          <cell r="N93" t="str">
            <v>GB 4</v>
          </cell>
          <cell r="O93"/>
          <cell r="P93"/>
          <cell r="Q93"/>
          <cell r="R93"/>
          <cell r="S93"/>
          <cell r="T93"/>
          <cell r="U93"/>
          <cell r="V93"/>
          <cell r="W93"/>
        </row>
        <row r="94">
          <cell r="A94"/>
          <cell r="N94" t="str">
            <v>GB 5</v>
          </cell>
          <cell r="O94"/>
          <cell r="P94"/>
          <cell r="Q94"/>
          <cell r="R94"/>
          <cell r="S94"/>
          <cell r="T94"/>
          <cell r="U94"/>
          <cell r="V94"/>
          <cell r="W94"/>
        </row>
        <row r="95">
          <cell r="A95"/>
          <cell r="N95" t="str">
            <v>GB 6</v>
          </cell>
          <cell r="O95"/>
          <cell r="P95"/>
          <cell r="Q95"/>
          <cell r="R95"/>
          <cell r="S95"/>
          <cell r="T95"/>
          <cell r="U95"/>
          <cell r="V95"/>
          <cell r="W95"/>
        </row>
        <row r="96">
          <cell r="A96"/>
          <cell r="N96" t="str">
            <v>GB7</v>
          </cell>
          <cell r="O96"/>
        </row>
        <row r="97">
          <cell r="A97"/>
          <cell r="N97" t="str">
            <v>SURFACE GLOBAL</v>
          </cell>
          <cell r="O97"/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/>
        </row>
        <row r="98">
          <cell r="A98"/>
          <cell r="N98"/>
          <cell r="O98"/>
        </row>
        <row r="99">
          <cell r="A99"/>
          <cell r="N99" t="str">
            <v>Temps d'attente maximum (min)</v>
          </cell>
          <cell r="O99"/>
          <cell r="P99">
            <v>15</v>
          </cell>
          <cell r="Q99">
            <v>15</v>
          </cell>
          <cell r="R99">
            <v>15</v>
          </cell>
          <cell r="S99">
            <v>15</v>
          </cell>
          <cell r="T99">
            <v>15</v>
          </cell>
          <cell r="U99">
            <v>15</v>
          </cell>
          <cell r="V99">
            <v>15</v>
          </cell>
          <cell r="W99">
            <v>15</v>
          </cell>
        </row>
        <row r="100">
          <cell r="A100"/>
          <cell r="N100" t="str">
            <v>Standard IATA C (m2/PAX)</v>
          </cell>
          <cell r="O100"/>
          <cell r="P100">
            <v>1.4</v>
          </cell>
          <cell r="Q100">
            <v>1.4</v>
          </cell>
          <cell r="R100">
            <v>1.4</v>
          </cell>
          <cell r="S100">
            <v>1.4</v>
          </cell>
          <cell r="T100">
            <v>1.4</v>
          </cell>
          <cell r="U100">
            <v>1.4</v>
          </cell>
          <cell r="V100">
            <v>1.4</v>
          </cell>
          <cell r="W100">
            <v>1.4</v>
          </cell>
        </row>
        <row r="101">
          <cell r="A101"/>
          <cell r="N101"/>
          <cell r="O101"/>
        </row>
        <row r="102">
          <cell r="A102"/>
          <cell r="N102" t="str">
            <v>Attente Enregistrement</v>
          </cell>
          <cell r="O102"/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/>
        </row>
        <row r="103">
          <cell r="A103"/>
          <cell r="O103"/>
        </row>
        <row r="104">
          <cell r="A104"/>
          <cell r="O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9">
          <cell r="A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</row>
        <row r="120">
          <cell r="A120" t="str">
            <v>Tri Bagage</v>
          </cell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30">
          <cell r="A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</row>
        <row r="131">
          <cell r="A131" t="str">
            <v>Frontières DEP</v>
          </cell>
        </row>
        <row r="132">
          <cell r="A132"/>
          <cell r="I132"/>
          <cell r="J132"/>
          <cell r="K132"/>
          <cell r="L132"/>
          <cell r="M132"/>
          <cell r="N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</row>
        <row r="133">
          <cell r="A133"/>
          <cell r="I133"/>
          <cell r="J133"/>
          <cell r="K133"/>
          <cell r="L133"/>
          <cell r="M133"/>
          <cell r="N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/>
          <cell r="I134"/>
          <cell r="J134"/>
          <cell r="K134"/>
          <cell r="L134"/>
          <cell r="M134"/>
          <cell r="N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</row>
        <row r="135">
          <cell r="A135"/>
          <cell r="I135"/>
          <cell r="J135"/>
          <cell r="K135"/>
          <cell r="L135"/>
          <cell r="M135"/>
          <cell r="N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</row>
        <row r="136">
          <cell r="A136"/>
          <cell r="I136"/>
          <cell r="J136"/>
          <cell r="K136"/>
          <cell r="L136"/>
          <cell r="M136"/>
          <cell r="N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</row>
        <row r="137">
          <cell r="A137"/>
          <cell r="I137"/>
          <cell r="J137"/>
          <cell r="K137"/>
          <cell r="L137"/>
          <cell r="M137"/>
          <cell r="N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/>
          <cell r="I138"/>
          <cell r="J138"/>
          <cell r="K138"/>
          <cell r="L138"/>
          <cell r="M138"/>
          <cell r="N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</row>
        <row r="139">
          <cell r="A139"/>
          <cell r="I139"/>
          <cell r="J139"/>
          <cell r="K139"/>
          <cell r="L139"/>
          <cell r="M139"/>
          <cell r="N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/>
          <cell r="I140"/>
          <cell r="J140"/>
          <cell r="K140"/>
          <cell r="L140"/>
          <cell r="M140"/>
          <cell r="N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</row>
        <row r="141">
          <cell r="A141"/>
          <cell r="I141"/>
          <cell r="J141"/>
          <cell r="K141"/>
          <cell r="L141"/>
          <cell r="M141"/>
          <cell r="N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</row>
        <row r="142">
          <cell r="A142"/>
          <cell r="I142"/>
          <cell r="J142"/>
          <cell r="K142"/>
          <cell r="L142"/>
          <cell r="M142"/>
          <cell r="N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</row>
        <row r="143">
          <cell r="A143"/>
          <cell r="I143"/>
          <cell r="J143"/>
          <cell r="K143"/>
          <cell r="L143"/>
          <cell r="M143"/>
          <cell r="N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</row>
        <row r="144">
          <cell r="A144"/>
          <cell r="I144"/>
          <cell r="J144"/>
          <cell r="K144"/>
          <cell r="L144"/>
          <cell r="M144"/>
          <cell r="N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/>
          <cell r="J145"/>
          <cell r="K145"/>
          <cell r="L145"/>
          <cell r="M145"/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I146"/>
          <cell r="J146"/>
          <cell r="K146"/>
          <cell r="L146"/>
          <cell r="M146"/>
          <cell r="P146"/>
          <cell r="Q146"/>
          <cell r="R146"/>
          <cell r="S146"/>
          <cell r="T146"/>
          <cell r="U146"/>
          <cell r="V146"/>
          <cell r="W146"/>
          <cell r="X146"/>
        </row>
        <row r="148">
          <cell r="A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</row>
        <row r="149">
          <cell r="A149" t="str">
            <v>PIF</v>
          </cell>
        </row>
        <row r="150">
          <cell r="A150"/>
          <cell r="H150"/>
          <cell r="I150"/>
          <cell r="O150" t="str">
            <v>T2F - PIF Centraux</v>
          </cell>
          <cell r="P150" t="str">
            <v>W22</v>
          </cell>
          <cell r="Q150" t="str">
            <v>S23</v>
          </cell>
          <cell r="R150" t="str">
            <v>W23</v>
          </cell>
          <cell r="S150" t="str">
            <v>S24</v>
          </cell>
          <cell r="T150" t="str">
            <v>W24</v>
          </cell>
          <cell r="U150" t="str">
            <v>S25</v>
          </cell>
          <cell r="V150" t="str">
            <v>W25</v>
          </cell>
          <cell r="W150" t="str">
            <v>S26</v>
          </cell>
          <cell r="X150" t="str">
            <v>W26</v>
          </cell>
          <cell r="Y150"/>
        </row>
        <row r="151">
          <cell r="A151"/>
          <cell r="I151"/>
          <cell r="J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/>
          <cell r="I152"/>
          <cell r="J152"/>
          <cell r="O152" t="str">
            <v>NB LAM courte EDSC</v>
          </cell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Débit LAM</v>
          </cell>
          <cell r="R153"/>
          <cell r="S153"/>
          <cell r="T153"/>
          <cell r="U153"/>
          <cell r="V153"/>
          <cell r="W153"/>
          <cell r="X153"/>
          <cell r="Y153"/>
        </row>
        <row r="154">
          <cell r="A154"/>
          <cell r="I154"/>
          <cell r="J154"/>
          <cell r="R154"/>
          <cell r="S154"/>
          <cell r="T154"/>
          <cell r="U154"/>
          <cell r="V154"/>
          <cell r="W154"/>
          <cell r="X154"/>
          <cell r="Y154"/>
        </row>
        <row r="155">
          <cell r="A155"/>
          <cell r="I155"/>
          <cell r="J155"/>
          <cell r="O155" t="str">
            <v>NB STD</v>
          </cell>
          <cell r="P155">
            <v>14</v>
          </cell>
          <cell r="Q155">
            <v>14</v>
          </cell>
          <cell r="R155">
            <v>14</v>
          </cell>
          <cell r="S155">
            <v>14</v>
          </cell>
          <cell r="T155">
            <v>14</v>
          </cell>
          <cell r="U155">
            <v>14</v>
          </cell>
          <cell r="V155">
            <v>14</v>
          </cell>
          <cell r="W155">
            <v>14</v>
          </cell>
          <cell r="X155">
            <v>14</v>
          </cell>
          <cell r="Y155"/>
        </row>
        <row r="156">
          <cell r="A156"/>
          <cell r="I156"/>
          <cell r="J156"/>
          <cell r="O156" t="str">
            <v>Débit STD</v>
          </cell>
          <cell r="P156">
            <v>130</v>
          </cell>
          <cell r="Q156">
            <v>130</v>
          </cell>
          <cell r="R156">
            <v>130</v>
          </cell>
          <cell r="S156">
            <v>140</v>
          </cell>
          <cell r="T156">
            <v>140</v>
          </cell>
          <cell r="U156">
            <v>140</v>
          </cell>
          <cell r="V156">
            <v>140</v>
          </cell>
          <cell r="W156">
            <v>140</v>
          </cell>
          <cell r="X156">
            <v>140</v>
          </cell>
          <cell r="Y156"/>
        </row>
        <row r="157">
          <cell r="A157"/>
          <cell r="I157"/>
          <cell r="J157"/>
          <cell r="T157"/>
          <cell r="U157"/>
          <cell r="V157"/>
          <cell r="W157"/>
          <cell r="X157"/>
          <cell r="Y157"/>
        </row>
        <row r="158">
          <cell r="A158"/>
          <cell r="I158"/>
          <cell r="J158"/>
          <cell r="O158" t="str">
            <v>NB Ligne HF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/>
        </row>
        <row r="159">
          <cell r="A159"/>
          <cell r="O159" t="str">
            <v>Débit STD</v>
          </cell>
          <cell r="P159">
            <v>140</v>
          </cell>
          <cell r="Q159">
            <v>140</v>
          </cell>
          <cell r="R159">
            <v>140</v>
          </cell>
          <cell r="S159">
            <v>140</v>
          </cell>
          <cell r="T159">
            <v>140</v>
          </cell>
          <cell r="U159">
            <v>140</v>
          </cell>
          <cell r="V159">
            <v>140</v>
          </cell>
          <cell r="W159">
            <v>140</v>
          </cell>
          <cell r="X159">
            <v>140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O161" t="str">
            <v>Débit PIF Centraux</v>
          </cell>
          <cell r="P161">
            <v>1960</v>
          </cell>
          <cell r="Q161">
            <v>1960</v>
          </cell>
          <cell r="R161">
            <v>1960</v>
          </cell>
          <cell r="S161">
            <v>2100</v>
          </cell>
          <cell r="T161">
            <v>2100</v>
          </cell>
          <cell r="U161">
            <v>2100</v>
          </cell>
          <cell r="V161">
            <v>2100</v>
          </cell>
          <cell r="W161">
            <v>2100</v>
          </cell>
          <cell r="X161">
            <v>2100</v>
          </cell>
          <cell r="Y161"/>
        </row>
        <row r="162">
          <cell r="A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</row>
        <row r="163">
          <cell r="A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</row>
        <row r="164">
          <cell r="A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</row>
        <row r="165">
          <cell r="A165"/>
          <cell r="O165" t="str">
            <v>T2F - PIF HC SkyPriority</v>
          </cell>
          <cell r="P165" t="str">
            <v>W22</v>
          </cell>
          <cell r="Q165" t="str">
            <v>S23</v>
          </cell>
          <cell r="R165" t="str">
            <v>W23</v>
          </cell>
          <cell r="S165" t="str">
            <v>S24</v>
          </cell>
          <cell r="T165" t="str">
            <v>W24</v>
          </cell>
          <cell r="U165" t="str">
            <v>S25</v>
          </cell>
          <cell r="V165" t="str">
            <v>W25</v>
          </cell>
          <cell r="W165" t="str">
            <v>S26</v>
          </cell>
          <cell r="X165" t="str">
            <v>W26</v>
          </cell>
          <cell r="Y165"/>
          <cell r="Z165"/>
        </row>
        <row r="166">
          <cell r="A166"/>
          <cell r="R166"/>
          <cell r="S166"/>
          <cell r="T166"/>
          <cell r="U166"/>
          <cell r="V166"/>
          <cell r="W166"/>
          <cell r="X166"/>
          <cell r="Y166"/>
        </row>
        <row r="167">
          <cell r="A167"/>
          <cell r="O167" t="str">
            <v>NB LAM</v>
          </cell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</row>
        <row r="168">
          <cell r="A168"/>
          <cell r="O168" t="str">
            <v>Débit LAM</v>
          </cell>
          <cell r="R168"/>
          <cell r="S168"/>
          <cell r="T168"/>
          <cell r="U168"/>
          <cell r="V168"/>
          <cell r="W168"/>
          <cell r="X168"/>
          <cell r="Y168"/>
        </row>
        <row r="169">
          <cell r="A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O170" t="str">
            <v>NB STD</v>
          </cell>
          <cell r="P170">
            <v>4</v>
          </cell>
          <cell r="Q170">
            <v>4</v>
          </cell>
          <cell r="R170">
            <v>4</v>
          </cell>
          <cell r="S170">
            <v>4</v>
          </cell>
          <cell r="T170">
            <v>4</v>
          </cell>
          <cell r="U170">
            <v>3</v>
          </cell>
          <cell r="V170">
            <v>3</v>
          </cell>
          <cell r="W170">
            <v>3</v>
          </cell>
          <cell r="X170">
            <v>3</v>
          </cell>
          <cell r="Y170"/>
        </row>
        <row r="171">
          <cell r="A171"/>
          <cell r="O171" t="str">
            <v>Débit STD</v>
          </cell>
          <cell r="P171">
            <v>90</v>
          </cell>
          <cell r="Q171">
            <v>90</v>
          </cell>
          <cell r="R171">
            <v>90</v>
          </cell>
          <cell r="S171">
            <v>100</v>
          </cell>
          <cell r="T171">
            <v>100</v>
          </cell>
          <cell r="U171">
            <v>100</v>
          </cell>
          <cell r="V171">
            <v>100</v>
          </cell>
          <cell r="W171">
            <v>100</v>
          </cell>
          <cell r="X171">
            <v>100</v>
          </cell>
          <cell r="Y171"/>
        </row>
        <row r="172">
          <cell r="A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Débit PIF Centraux</v>
          </cell>
          <cell r="P173">
            <v>360</v>
          </cell>
          <cell r="Q173">
            <v>360</v>
          </cell>
          <cell r="R173">
            <v>360</v>
          </cell>
          <cell r="S173">
            <v>400</v>
          </cell>
          <cell r="T173">
            <v>400</v>
          </cell>
          <cell r="U173">
            <v>300</v>
          </cell>
          <cell r="V173">
            <v>300</v>
          </cell>
          <cell r="W173">
            <v>300</v>
          </cell>
          <cell r="X173">
            <v>300</v>
          </cell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O176" t="str">
            <v>Débit PIF</v>
          </cell>
          <cell r="P176">
            <v>2320</v>
          </cell>
          <cell r="Q176">
            <v>2320</v>
          </cell>
          <cell r="R176">
            <v>2320</v>
          </cell>
          <cell r="S176">
            <v>2500</v>
          </cell>
          <cell r="T176">
            <v>2500</v>
          </cell>
          <cell r="U176">
            <v>2400</v>
          </cell>
          <cell r="V176">
            <v>2400</v>
          </cell>
          <cell r="W176">
            <v>2400</v>
          </cell>
          <cell r="X176">
            <v>2400</v>
          </cell>
          <cell r="Y176"/>
        </row>
        <row r="177">
          <cell r="A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</row>
        <row r="178">
          <cell r="A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</row>
        <row r="179">
          <cell r="A179"/>
          <cell r="Y179"/>
        </row>
        <row r="180">
          <cell r="A180"/>
          <cell r="O180" t="str">
            <v>T2F - Surface PIF</v>
          </cell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Y180"/>
        </row>
        <row r="181">
          <cell r="A181"/>
          <cell r="O181"/>
          <cell r="Y181"/>
        </row>
        <row r="182">
          <cell r="A182"/>
          <cell r="O182" t="str">
            <v>Centraux</v>
          </cell>
          <cell r="P182">
            <v>487</v>
          </cell>
          <cell r="Q182">
            <v>487</v>
          </cell>
          <cell r="R182">
            <v>487</v>
          </cell>
          <cell r="S182">
            <v>487</v>
          </cell>
          <cell r="T182">
            <v>487</v>
          </cell>
          <cell r="U182">
            <v>487</v>
          </cell>
          <cell r="V182">
            <v>487</v>
          </cell>
          <cell r="W182">
            <v>487</v>
          </cell>
          <cell r="X182">
            <v>487</v>
          </cell>
          <cell r="Y182"/>
        </row>
        <row r="183">
          <cell r="A183"/>
          <cell r="O183" t="str">
            <v>HC</v>
          </cell>
          <cell r="P183">
            <v>36</v>
          </cell>
          <cell r="Q183">
            <v>36</v>
          </cell>
          <cell r="R183">
            <v>36</v>
          </cell>
          <cell r="S183">
            <v>36</v>
          </cell>
          <cell r="T183">
            <v>36</v>
          </cell>
          <cell r="U183">
            <v>36</v>
          </cell>
          <cell r="V183">
            <v>36</v>
          </cell>
          <cell r="W183">
            <v>36</v>
          </cell>
          <cell r="X183">
            <v>36</v>
          </cell>
          <cell r="Y183"/>
        </row>
        <row r="184">
          <cell r="A184"/>
          <cell r="O184" t="str">
            <v>SURFACE GLOBAL</v>
          </cell>
          <cell r="P184">
            <v>523</v>
          </cell>
          <cell r="Q184">
            <v>523</v>
          </cell>
          <cell r="R184">
            <v>523</v>
          </cell>
          <cell r="S184">
            <v>523</v>
          </cell>
          <cell r="T184">
            <v>523</v>
          </cell>
          <cell r="U184">
            <v>523</v>
          </cell>
          <cell r="V184">
            <v>523</v>
          </cell>
          <cell r="W184">
            <v>523</v>
          </cell>
          <cell r="X184">
            <v>523</v>
          </cell>
          <cell r="Y184"/>
        </row>
        <row r="185">
          <cell r="A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</row>
        <row r="186">
          <cell r="A186"/>
          <cell r="O186" t="str">
            <v>Temps d'attente maximum (min)</v>
          </cell>
          <cell r="P186">
            <v>10</v>
          </cell>
          <cell r="Q186">
            <v>10</v>
          </cell>
          <cell r="R186">
            <v>10</v>
          </cell>
          <cell r="S186">
            <v>10</v>
          </cell>
          <cell r="T186">
            <v>10</v>
          </cell>
          <cell r="U186">
            <v>10</v>
          </cell>
          <cell r="V186">
            <v>10</v>
          </cell>
          <cell r="W186">
            <v>10</v>
          </cell>
          <cell r="X186">
            <v>10</v>
          </cell>
          <cell r="Y186"/>
        </row>
        <row r="187">
          <cell r="A187"/>
          <cell r="O187" t="str">
            <v>Standard IATA C (m2/PAX)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/>
        </row>
        <row r="188">
          <cell r="A188"/>
          <cell r="O188"/>
          <cell r="Y188"/>
        </row>
        <row r="189">
          <cell r="A189"/>
          <cell r="O189" t="str">
            <v>Attente PIF</v>
          </cell>
          <cell r="P189">
            <v>3138</v>
          </cell>
          <cell r="Q189">
            <v>3138</v>
          </cell>
          <cell r="R189">
            <v>3138</v>
          </cell>
          <cell r="S189">
            <v>3138</v>
          </cell>
          <cell r="T189">
            <v>3138</v>
          </cell>
          <cell r="U189">
            <v>3138</v>
          </cell>
          <cell r="V189">
            <v>3138</v>
          </cell>
          <cell r="W189">
            <v>3138</v>
          </cell>
          <cell r="X189">
            <v>3138</v>
          </cell>
          <cell r="Y189"/>
        </row>
        <row r="190">
          <cell r="A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</row>
        <row r="191">
          <cell r="A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</row>
        <row r="193">
          <cell r="A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</row>
        <row r="194">
          <cell r="A194" t="str">
            <v>Embarquement</v>
          </cell>
        </row>
        <row r="195">
          <cell r="A195"/>
          <cell r="N195" t="str">
            <v>T2F - Circuits embarquements NET</v>
          </cell>
          <cell r="O195"/>
          <cell r="P195" t="str">
            <v>W22</v>
          </cell>
          <cell r="Q195" t="str">
            <v>S23</v>
          </cell>
          <cell r="R195" t="str">
            <v>W23</v>
          </cell>
          <cell r="S195" t="str">
            <v>S24</v>
          </cell>
          <cell r="T195" t="str">
            <v>W24</v>
          </cell>
          <cell r="U195" t="str">
            <v>S25</v>
          </cell>
          <cell r="V195" t="str">
            <v>W25</v>
          </cell>
          <cell r="W195" t="str">
            <v>S26</v>
          </cell>
          <cell r="X195" t="str">
            <v>W26</v>
          </cell>
        </row>
        <row r="196">
          <cell r="A196"/>
          <cell r="N196" t="str">
            <v>T2F - Contact</v>
          </cell>
          <cell r="O196" t="str">
            <v>A/B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/>
          <cell r="W196"/>
          <cell r="X196"/>
        </row>
        <row r="197">
          <cell r="A197"/>
          <cell r="N197"/>
          <cell r="O197" t="str">
            <v>C</v>
          </cell>
          <cell r="P197">
            <v>20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20</v>
          </cell>
          <cell r="V197"/>
          <cell r="W197"/>
          <cell r="X197"/>
        </row>
        <row r="198">
          <cell r="A198"/>
          <cell r="N198"/>
          <cell r="O198" t="str">
            <v>D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/>
          <cell r="W198"/>
          <cell r="X198"/>
        </row>
        <row r="199">
          <cell r="A199"/>
          <cell r="N199"/>
          <cell r="O199" t="str">
            <v>E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/>
          <cell r="W199"/>
          <cell r="X199"/>
        </row>
        <row r="200">
          <cell r="A200"/>
          <cell r="N200"/>
          <cell r="O200" t="str">
            <v>F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/>
          <cell r="W200"/>
          <cell r="X200"/>
        </row>
        <row r="201">
          <cell r="A201"/>
          <cell r="N201" t="str">
            <v>T2F - Large</v>
          </cell>
          <cell r="O201" t="str">
            <v>A/B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</row>
        <row r="202">
          <cell r="A202"/>
          <cell r="N202"/>
          <cell r="O202" t="str">
            <v>C</v>
          </cell>
          <cell r="P202">
            <v>9</v>
          </cell>
          <cell r="Q202">
            <v>9</v>
          </cell>
          <cell r="R202">
            <v>9</v>
          </cell>
          <cell r="S202">
            <v>9</v>
          </cell>
          <cell r="T202">
            <v>9</v>
          </cell>
          <cell r="U202">
            <v>10</v>
          </cell>
          <cell r="V202"/>
          <cell r="W202"/>
          <cell r="X202"/>
        </row>
        <row r="203">
          <cell r="A203"/>
          <cell r="N203"/>
          <cell r="O203" t="str">
            <v>D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/>
          <cell r="W203"/>
          <cell r="X203"/>
        </row>
        <row r="204">
          <cell r="A204"/>
          <cell r="N204"/>
          <cell r="O204" t="str">
            <v>E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/>
          <cell r="W204"/>
          <cell r="X204"/>
        </row>
        <row r="205">
          <cell r="A205"/>
          <cell r="N205"/>
          <cell r="O205" t="str">
            <v>F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/>
          <cell r="W205"/>
          <cell r="X205"/>
        </row>
        <row r="206">
          <cell r="A206"/>
          <cell r="N206" t="str">
            <v>T2F Total</v>
          </cell>
          <cell r="O206"/>
          <cell r="P206">
            <v>29</v>
          </cell>
          <cell r="Q206">
            <v>29</v>
          </cell>
          <cell r="R206">
            <v>29</v>
          </cell>
          <cell r="S206">
            <v>29</v>
          </cell>
          <cell r="T206">
            <v>29</v>
          </cell>
          <cell r="U206">
            <v>30</v>
          </cell>
          <cell r="V206">
            <v>0</v>
          </cell>
          <cell r="W206"/>
          <cell r="X206"/>
        </row>
        <row r="207">
          <cell r="A207"/>
          <cell r="O207"/>
        </row>
        <row r="208">
          <cell r="A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K209" t="str">
            <v>Offre siège porteur</v>
          </cell>
          <cell r="L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K210" t="str">
            <v>A/B</v>
          </cell>
          <cell r="L210">
            <v>80</v>
          </cell>
          <cell r="N210"/>
          <cell r="O210" t="str">
            <v>Débit EMB - TOTAL</v>
          </cell>
          <cell r="P210">
            <v>4437</v>
          </cell>
          <cell r="Q210">
            <v>4437</v>
          </cell>
          <cell r="R210">
            <v>4437</v>
          </cell>
          <cell r="S210">
            <v>4437</v>
          </cell>
          <cell r="T210">
            <v>4437</v>
          </cell>
          <cell r="U210">
            <v>4590</v>
          </cell>
          <cell r="V210">
            <v>0</v>
          </cell>
          <cell r="W210"/>
          <cell r="X210"/>
        </row>
        <row r="211">
          <cell r="A211"/>
          <cell r="K211" t="str">
            <v>C</v>
          </cell>
          <cell r="L211">
            <v>180</v>
          </cell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D</v>
          </cell>
          <cell r="L212">
            <v>250</v>
          </cell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</row>
        <row r="213">
          <cell r="A213"/>
          <cell r="K213" t="str">
            <v>E</v>
          </cell>
          <cell r="L213">
            <v>320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F</v>
          </cell>
          <cell r="L214">
            <v>500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Taux de remplissage</v>
          </cell>
          <cell r="L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K217">
            <v>0.85</v>
          </cell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/>
        </row>
        <row r="221">
          <cell r="A221"/>
          <cell r="O221" t="str">
            <v>T2F - Embarquement 2F1</v>
          </cell>
          <cell r="P221" t="str">
            <v>W22</v>
          </cell>
          <cell r="Q221" t="str">
            <v>S23</v>
          </cell>
          <cell r="R221" t="str">
            <v>W23</v>
          </cell>
          <cell r="S221" t="str">
            <v>S24</v>
          </cell>
          <cell r="T221" t="str">
            <v>W24</v>
          </cell>
          <cell r="U221" t="str">
            <v>S25</v>
          </cell>
          <cell r="V221" t="str">
            <v>W25</v>
          </cell>
          <cell r="W221" t="str">
            <v>S26</v>
          </cell>
          <cell r="X221" t="str">
            <v>W26</v>
          </cell>
        </row>
        <row r="222">
          <cell r="A222"/>
          <cell r="R222"/>
          <cell r="S222"/>
          <cell r="T222"/>
          <cell r="U222"/>
          <cell r="V222"/>
          <cell r="W222"/>
          <cell r="X222"/>
        </row>
        <row r="223">
          <cell r="A223"/>
          <cell r="O223" t="str">
            <v>Surface d'attente utile (m2)</v>
          </cell>
          <cell r="P223">
            <v>2531</v>
          </cell>
          <cell r="Q223">
            <v>2531</v>
          </cell>
          <cell r="R223">
            <v>2531</v>
          </cell>
          <cell r="S223">
            <v>2531</v>
          </cell>
          <cell r="T223">
            <v>2531</v>
          </cell>
          <cell r="U223">
            <v>2531</v>
          </cell>
          <cell r="V223"/>
          <cell r="W223"/>
          <cell r="X223"/>
        </row>
        <row r="224">
          <cell r="A224"/>
          <cell r="O224" t="str">
            <v>Temps moyen d'occupation (min)</v>
          </cell>
          <cell r="P224">
            <v>70</v>
          </cell>
          <cell r="Q224">
            <v>70</v>
          </cell>
          <cell r="R224">
            <v>70</v>
          </cell>
          <cell r="S224">
            <v>70</v>
          </cell>
          <cell r="T224">
            <v>70</v>
          </cell>
          <cell r="U224">
            <v>70</v>
          </cell>
        </row>
        <row r="225">
          <cell r="A225"/>
          <cell r="O225" t="str">
            <v>Standard IATA (m2/PAX)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</row>
        <row r="226">
          <cell r="A226"/>
          <cell r="O226" t="str">
            <v>Taux d'occupation MAX IATA</v>
          </cell>
          <cell r="P226">
            <v>0.65</v>
          </cell>
          <cell r="Q226">
            <v>0.65</v>
          </cell>
          <cell r="R226">
            <v>0.65</v>
          </cell>
          <cell r="S226">
            <v>0.65</v>
          </cell>
          <cell r="T226">
            <v>0.65</v>
          </cell>
          <cell r="U226">
            <v>0.65</v>
          </cell>
        </row>
        <row r="227">
          <cell r="A227"/>
        </row>
        <row r="228">
          <cell r="A228"/>
          <cell r="O228" t="str">
            <v>Attente EMB 2F1</v>
          </cell>
          <cell r="P228">
            <v>1410.1285714285714</v>
          </cell>
          <cell r="Q228">
            <v>1410.1285714285714</v>
          </cell>
          <cell r="R228">
            <v>1410.1285714285714</v>
          </cell>
          <cell r="S228">
            <v>1410.1285714285714</v>
          </cell>
          <cell r="T228">
            <v>1410.1285714285714</v>
          </cell>
          <cell r="U228">
            <v>1410.1285714285714</v>
          </cell>
          <cell r="V228"/>
          <cell r="W228"/>
          <cell r="X228"/>
        </row>
        <row r="229">
          <cell r="A229"/>
        </row>
        <row r="230">
          <cell r="A230"/>
        </row>
        <row r="231">
          <cell r="A231"/>
          <cell r="O231"/>
        </row>
        <row r="232">
          <cell r="A232"/>
          <cell r="O232" t="str">
            <v>T2F - Embarquement 2F2</v>
          </cell>
          <cell r="P232" t="str">
            <v>W22</v>
          </cell>
          <cell r="Q232" t="str">
            <v>S23</v>
          </cell>
          <cell r="R232" t="str">
            <v>W23</v>
          </cell>
          <cell r="S232" t="str">
            <v>S24</v>
          </cell>
          <cell r="T232" t="str">
            <v>W24</v>
          </cell>
          <cell r="U232" t="str">
            <v>S25</v>
          </cell>
          <cell r="V232" t="str">
            <v>W25</v>
          </cell>
          <cell r="W232" t="str">
            <v>S26</v>
          </cell>
          <cell r="X232" t="str">
            <v>W26</v>
          </cell>
        </row>
        <row r="233">
          <cell r="A233"/>
          <cell r="R233"/>
          <cell r="S233"/>
          <cell r="T233"/>
          <cell r="U233"/>
          <cell r="V233"/>
          <cell r="W233"/>
          <cell r="X233"/>
        </row>
        <row r="234">
          <cell r="A234"/>
          <cell r="O234" t="str">
            <v>Surface d'attente utile (m2)</v>
          </cell>
          <cell r="P234">
            <v>2397</v>
          </cell>
          <cell r="Q234">
            <v>2397</v>
          </cell>
          <cell r="R234">
            <v>2397</v>
          </cell>
          <cell r="S234">
            <v>2397</v>
          </cell>
          <cell r="T234">
            <v>2397</v>
          </cell>
          <cell r="U234">
            <v>2397</v>
          </cell>
          <cell r="V234"/>
          <cell r="W234"/>
          <cell r="X234"/>
        </row>
        <row r="235">
          <cell r="A235"/>
          <cell r="O235" t="str">
            <v>Temps moyen d'occupation (min)</v>
          </cell>
          <cell r="P235">
            <v>70</v>
          </cell>
          <cell r="Q235">
            <v>70</v>
          </cell>
          <cell r="R235">
            <v>70</v>
          </cell>
          <cell r="S235">
            <v>70</v>
          </cell>
          <cell r="T235">
            <v>70</v>
          </cell>
          <cell r="U235">
            <v>70</v>
          </cell>
        </row>
        <row r="236">
          <cell r="A236"/>
          <cell r="O236" t="str">
            <v>Standard IATA (m2/PAX)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</row>
        <row r="237">
          <cell r="A237"/>
          <cell r="O237" t="str">
            <v>Taux d'occupation MAX IATA</v>
          </cell>
          <cell r="P237">
            <v>0.65</v>
          </cell>
          <cell r="Q237">
            <v>0.65</v>
          </cell>
          <cell r="R237">
            <v>0.65</v>
          </cell>
          <cell r="S237">
            <v>0.65</v>
          </cell>
          <cell r="T237">
            <v>0.65</v>
          </cell>
          <cell r="U237">
            <v>0.65</v>
          </cell>
        </row>
        <row r="238">
          <cell r="A238"/>
        </row>
        <row r="239">
          <cell r="A239"/>
          <cell r="O239" t="str">
            <v>Attente EMB 2F2</v>
          </cell>
          <cell r="P239">
            <v>1335.4714285714285</v>
          </cell>
          <cell r="Q239">
            <v>1335.4714285714285</v>
          </cell>
          <cell r="R239">
            <v>1335.4714285714285</v>
          </cell>
          <cell r="S239">
            <v>1335.4714285714285</v>
          </cell>
          <cell r="T239">
            <v>1335.4714285714285</v>
          </cell>
          <cell r="U239">
            <v>1335.4714285714285</v>
          </cell>
          <cell r="V239"/>
          <cell r="W239"/>
          <cell r="X239"/>
        </row>
        <row r="240">
          <cell r="A240"/>
          <cell r="O240"/>
        </row>
        <row r="241">
          <cell r="A241"/>
          <cell r="O241"/>
        </row>
        <row r="242">
          <cell r="A242"/>
          <cell r="O242" t="str">
            <v>Attente EMB</v>
          </cell>
          <cell r="P242">
            <v>2745.6</v>
          </cell>
          <cell r="Q242">
            <v>2745.6</v>
          </cell>
          <cell r="R242">
            <v>2745.6</v>
          </cell>
          <cell r="S242">
            <v>2745.6</v>
          </cell>
          <cell r="T242">
            <v>2745.6</v>
          </cell>
          <cell r="U242">
            <v>2745.6</v>
          </cell>
          <cell r="V242"/>
          <cell r="W242"/>
          <cell r="X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9">
          <cell r="A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</row>
        <row r="250">
          <cell r="A250" t="str">
            <v>Postes</v>
          </cell>
        </row>
        <row r="251">
          <cell r="A251"/>
          <cell r="N251" t="str">
            <v>T2F NET1 MAX</v>
          </cell>
          <cell r="O251"/>
          <cell r="P251" t="str">
            <v>W22</v>
          </cell>
          <cell r="Q251" t="str">
            <v>S23</v>
          </cell>
          <cell r="R251" t="str">
            <v>W23</v>
          </cell>
          <cell r="S251" t="str">
            <v>S24</v>
          </cell>
          <cell r="T251" t="str">
            <v>W24</v>
          </cell>
          <cell r="U251" t="str">
            <v>S25</v>
          </cell>
          <cell r="V251" t="str">
            <v>W25</v>
          </cell>
          <cell r="W251" t="str">
            <v>S26</v>
          </cell>
          <cell r="X251" t="str">
            <v>W26</v>
          </cell>
          <cell r="Z251" t="str">
            <v>T2F BRUT</v>
          </cell>
        </row>
        <row r="252">
          <cell r="A252"/>
          <cell r="N252" t="str">
            <v>Global - CONTACT</v>
          </cell>
          <cell r="O252" t="str">
            <v>A/B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 t="str">
            <v>T2F Contact</v>
          </cell>
        </row>
        <row r="253">
          <cell r="A253"/>
          <cell r="N253"/>
          <cell r="O253" t="str">
            <v>C</v>
          </cell>
          <cell r="P253">
            <v>24</v>
          </cell>
          <cell r="Q253">
            <v>24</v>
          </cell>
          <cell r="R253">
            <v>24</v>
          </cell>
          <cell r="S253">
            <v>24</v>
          </cell>
          <cell r="T253">
            <v>24</v>
          </cell>
          <cell r="U253">
            <v>24</v>
          </cell>
          <cell r="V253">
            <v>24</v>
          </cell>
          <cell r="W253">
            <v>24</v>
          </cell>
          <cell r="X253"/>
          <cell r="Z253"/>
        </row>
        <row r="254">
          <cell r="A254"/>
          <cell r="N254"/>
          <cell r="O254" t="str">
            <v>D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E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F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O257" t="str">
            <v>T2F Contact</v>
          </cell>
          <cell r="P257">
            <v>24</v>
          </cell>
          <cell r="Q257">
            <v>24</v>
          </cell>
          <cell r="R257">
            <v>24</v>
          </cell>
          <cell r="S257">
            <v>24</v>
          </cell>
          <cell r="T257">
            <v>24</v>
          </cell>
          <cell r="U257">
            <v>24</v>
          </cell>
          <cell r="V257">
            <v>24</v>
          </cell>
          <cell r="W257">
            <v>24</v>
          </cell>
          <cell r="X257"/>
          <cell r="Z257"/>
        </row>
        <row r="258">
          <cell r="A258"/>
          <cell r="Z258" t="str">
            <v>T2F Large</v>
          </cell>
        </row>
        <row r="259">
          <cell r="A259"/>
          <cell r="N259" t="str">
            <v>Global - LARGE</v>
          </cell>
          <cell r="O259" t="str">
            <v>A/B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/>
          <cell r="Z259"/>
        </row>
        <row r="260">
          <cell r="A260"/>
          <cell r="N260"/>
          <cell r="O260" t="str">
            <v>C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D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/>
          <cell r="Z261"/>
        </row>
        <row r="262">
          <cell r="A262"/>
          <cell r="N262"/>
          <cell r="O262" t="str">
            <v>E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/>
          <cell r="O263" t="str">
            <v>F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  <cell r="Z263"/>
        </row>
        <row r="264">
          <cell r="A264"/>
          <cell r="N264"/>
          <cell r="O264" t="str">
            <v>T2F Large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/>
        </row>
        <row r="265">
          <cell r="A265"/>
        </row>
        <row r="267">
          <cell r="A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</row>
        <row r="268">
          <cell r="A268" t="str">
            <v>Frontières ARR</v>
          </cell>
        </row>
        <row r="269">
          <cell r="A269"/>
          <cell r="I269"/>
          <cell r="J269"/>
          <cell r="K269"/>
          <cell r="L269"/>
          <cell r="M269"/>
          <cell r="N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</row>
        <row r="270">
          <cell r="A270"/>
          <cell r="I270"/>
          <cell r="J270"/>
          <cell r="K270"/>
          <cell r="L270"/>
          <cell r="M270"/>
          <cell r="N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</row>
        <row r="271">
          <cell r="A271"/>
          <cell r="I271"/>
          <cell r="J271"/>
          <cell r="K271"/>
          <cell r="L271"/>
          <cell r="M271"/>
          <cell r="N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</row>
        <row r="272">
          <cell r="A272"/>
          <cell r="I272"/>
          <cell r="J272"/>
          <cell r="K272"/>
          <cell r="L272"/>
          <cell r="M272"/>
          <cell r="N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</row>
        <row r="273">
          <cell r="A273"/>
          <cell r="I273"/>
          <cell r="J273"/>
          <cell r="K273"/>
          <cell r="L273"/>
          <cell r="M273"/>
          <cell r="N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</row>
        <row r="274">
          <cell r="A274"/>
          <cell r="I274"/>
          <cell r="J274"/>
          <cell r="K274"/>
          <cell r="L274"/>
          <cell r="M274"/>
          <cell r="N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</row>
        <row r="275">
          <cell r="A275"/>
          <cell r="I275"/>
          <cell r="J275"/>
          <cell r="K275"/>
          <cell r="L275"/>
          <cell r="M275"/>
          <cell r="N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</row>
        <row r="276">
          <cell r="A276"/>
          <cell r="I276"/>
          <cell r="J276"/>
          <cell r="K276"/>
          <cell r="L276"/>
          <cell r="M276"/>
          <cell r="N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</row>
        <row r="277">
          <cell r="A277"/>
          <cell r="I277"/>
          <cell r="J277"/>
          <cell r="K277"/>
          <cell r="L277"/>
          <cell r="M277"/>
          <cell r="N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</row>
        <row r="278">
          <cell r="A278"/>
          <cell r="I278"/>
          <cell r="J278"/>
          <cell r="K278"/>
          <cell r="L278"/>
          <cell r="M278"/>
          <cell r="N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</row>
        <row r="279">
          <cell r="A279"/>
          <cell r="I279"/>
          <cell r="J279"/>
          <cell r="K279"/>
          <cell r="L279"/>
          <cell r="M279"/>
          <cell r="N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/>
          <cell r="I280"/>
          <cell r="J280"/>
          <cell r="K280"/>
          <cell r="L280"/>
          <cell r="M280"/>
          <cell r="N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/>
          <cell r="I281"/>
          <cell r="J281"/>
          <cell r="K281"/>
          <cell r="L281"/>
          <cell r="M281"/>
          <cell r="N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</row>
        <row r="282">
          <cell r="A282"/>
          <cell r="I282"/>
          <cell r="J282"/>
          <cell r="K282"/>
          <cell r="L282"/>
          <cell r="M282"/>
          <cell r="N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K283"/>
          <cell r="L283"/>
          <cell r="M283"/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J284"/>
          <cell r="K284"/>
          <cell r="L284"/>
          <cell r="M284"/>
          <cell r="N284"/>
          <cell r="Z284"/>
        </row>
        <row r="285"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</row>
        <row r="286">
          <cell r="A286" t="str">
            <v>SLB</v>
          </cell>
          <cell r="I286"/>
          <cell r="J286"/>
          <cell r="K286"/>
          <cell r="L286"/>
          <cell r="M286"/>
          <cell r="N286"/>
          <cell r="Z286"/>
        </row>
        <row r="287">
          <cell r="A287"/>
          <cell r="I287"/>
          <cell r="J287"/>
          <cell r="K287"/>
          <cell r="L287"/>
          <cell r="M287"/>
          <cell r="N287"/>
          <cell r="O287" t="str">
            <v>T2F - SLB</v>
          </cell>
          <cell r="P287" t="str">
            <v>W22</v>
          </cell>
          <cell r="Q287" t="str">
            <v>S23</v>
          </cell>
          <cell r="R287" t="str">
            <v>W23</v>
          </cell>
          <cell r="S287" t="str">
            <v>S24</v>
          </cell>
          <cell r="T287" t="str">
            <v>W24</v>
          </cell>
          <cell r="U287" t="str">
            <v>S25</v>
          </cell>
          <cell r="V287" t="str">
            <v>W25</v>
          </cell>
          <cell r="W287" t="str">
            <v>S26</v>
          </cell>
          <cell r="X287" t="str">
            <v>W26</v>
          </cell>
          <cell r="Z287"/>
        </row>
        <row r="288">
          <cell r="A288"/>
        </row>
        <row r="289">
          <cell r="A289"/>
          <cell r="O289" t="str">
            <v>NB tapis</v>
          </cell>
          <cell r="P289">
            <v>7</v>
          </cell>
          <cell r="Q289">
            <v>7</v>
          </cell>
          <cell r="R289">
            <v>7</v>
          </cell>
          <cell r="S289">
            <v>7</v>
          </cell>
          <cell r="T289">
            <v>7</v>
          </cell>
          <cell r="U289">
            <v>7</v>
          </cell>
          <cell r="V289">
            <v>7</v>
          </cell>
          <cell r="W289">
            <v>7</v>
          </cell>
          <cell r="X289">
            <v>7</v>
          </cell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/>
        </row>
        <row r="303">
          <cell r="A303"/>
        </row>
      </sheetData>
      <sheetData sheetId="8">
        <row r="1">
          <cell r="B1" t="str">
            <v>T2G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T2G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3</v>
          </cell>
          <cell r="U6">
            <v>3</v>
          </cell>
          <cell r="V6">
            <v>3</v>
          </cell>
          <cell r="W6">
            <v>3</v>
          </cell>
          <cell r="X6">
            <v>3</v>
          </cell>
        </row>
        <row r="7">
          <cell r="A7"/>
          <cell r="O7" t="str">
            <v>Capacité Officielle TOTALE</v>
          </cell>
          <cell r="P7">
            <v>3</v>
          </cell>
          <cell r="Q7">
            <v>3</v>
          </cell>
          <cell r="R7">
            <v>3</v>
          </cell>
          <cell r="S7">
            <v>3</v>
          </cell>
          <cell r="T7">
            <v>3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700</v>
          </cell>
          <cell r="Q11">
            <v>700</v>
          </cell>
          <cell r="R11">
            <v>700</v>
          </cell>
          <cell r="S11">
            <v>700</v>
          </cell>
          <cell r="T11">
            <v>700</v>
          </cell>
          <cell r="U11">
            <v>700</v>
          </cell>
          <cell r="V11">
            <v>700</v>
          </cell>
          <cell r="W11">
            <v>700</v>
          </cell>
          <cell r="X11">
            <v>700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</row>
        <row r="19">
          <cell r="A19"/>
          <cell r="N19" t="str">
            <v>T2G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/>
          <cell r="R21"/>
          <cell r="S21"/>
          <cell r="T21"/>
          <cell r="U21"/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834</v>
          </cell>
          <cell r="R22"/>
          <cell r="S22">
            <v>842</v>
          </cell>
          <cell r="T22"/>
          <cell r="U22">
            <v>784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834</v>
          </cell>
          <cell r="R23"/>
          <cell r="S23">
            <v>842</v>
          </cell>
          <cell r="T23"/>
          <cell r="U23">
            <v>784</v>
          </cell>
          <cell r="V23"/>
        </row>
        <row r="24">
          <cell r="A24"/>
        </row>
        <row r="25">
          <cell r="A25"/>
          <cell r="N25" t="str">
            <v>Enregistrement</v>
          </cell>
          <cell r="O25" t="str">
            <v>Capacité Equipements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Capacité Surfaces</v>
          </cell>
          <cell r="P26"/>
          <cell r="Q26"/>
          <cell r="R26"/>
          <cell r="S26"/>
          <cell r="T26"/>
          <cell r="U26"/>
          <cell r="V26"/>
          <cell r="W26"/>
          <cell r="X26"/>
        </row>
        <row r="27">
          <cell r="A27"/>
          <cell r="N27"/>
          <cell r="O27" t="str">
            <v>QP utilisation</v>
          </cell>
          <cell r="P27">
            <v>0.2</v>
          </cell>
          <cell r="Q27">
            <v>0.2</v>
          </cell>
          <cell r="R27">
            <v>0.2</v>
          </cell>
          <cell r="S27">
            <v>0.2</v>
          </cell>
          <cell r="T27">
            <v>0.2</v>
          </cell>
          <cell r="U27">
            <v>0.2</v>
          </cell>
          <cell r="V27">
            <v>0.2</v>
          </cell>
          <cell r="W27">
            <v>0.2</v>
          </cell>
          <cell r="X27">
            <v>0.2</v>
          </cell>
        </row>
        <row r="28">
          <cell r="A28"/>
          <cell r="N28"/>
          <cell r="O28" t="str">
            <v>Capacité fictive Bloc</v>
          </cell>
          <cell r="P28"/>
          <cell r="Q28"/>
          <cell r="R28"/>
          <cell r="S28"/>
          <cell r="T28"/>
          <cell r="U28"/>
          <cell r="V28"/>
          <cell r="W28"/>
          <cell r="X28"/>
        </row>
        <row r="29">
          <cell r="A29"/>
          <cell r="N29"/>
          <cell r="O29"/>
        </row>
        <row r="30">
          <cell r="A30"/>
          <cell r="N30" t="str">
            <v>PIF</v>
          </cell>
          <cell r="O30" t="str">
            <v>Capacité Equipements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Capacité Surfaces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QP utilisation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 t="str">
            <v>Capacité fictive Bloc</v>
          </cell>
          <cell r="P33"/>
          <cell r="Q33"/>
          <cell r="R33"/>
          <cell r="S33"/>
          <cell r="T33"/>
          <cell r="U33"/>
          <cell r="V33"/>
          <cell r="W33"/>
          <cell r="X33"/>
        </row>
        <row r="34">
          <cell r="A34"/>
          <cell r="N34"/>
          <cell r="O34"/>
        </row>
        <row r="35">
          <cell r="A35"/>
          <cell r="N35" t="str">
            <v>EMB</v>
          </cell>
          <cell r="O35" t="str">
            <v>Capacité Equipements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Capacité Surfaces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QP utilisation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  <cell r="N38"/>
          <cell r="O38" t="str">
            <v>Capacité fictive Bloc</v>
          </cell>
          <cell r="P38"/>
          <cell r="Q38"/>
          <cell r="R38"/>
          <cell r="S38"/>
          <cell r="T38"/>
          <cell r="U38"/>
          <cell r="V38"/>
          <cell r="W38"/>
          <cell r="X38"/>
        </row>
        <row r="39">
          <cell r="A39"/>
        </row>
        <row r="40">
          <cell r="A40"/>
        </row>
        <row r="41">
          <cell r="A41"/>
          <cell r="N41" t="str">
            <v>Seuil d'alerte proposé</v>
          </cell>
          <cell r="O41" t="str">
            <v>INTER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</row>
        <row r="42">
          <cell r="A42"/>
          <cell r="N42" t="str">
            <v>Seuil d'alerte proposé</v>
          </cell>
          <cell r="O42" t="str">
            <v>SCH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</row>
        <row r="43">
          <cell r="A43"/>
          <cell r="N43" t="str">
            <v>Seuil d'alerte proposé</v>
          </cell>
          <cell r="O43" t="str">
            <v>Global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</row>
        <row r="44">
          <cell r="A44"/>
        </row>
        <row r="45">
          <cell r="A45"/>
        </row>
        <row r="46">
          <cell r="A46"/>
        </row>
        <row r="48">
          <cell r="A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</row>
        <row r="49">
          <cell r="A49" t="str">
            <v>Enregistrement</v>
          </cell>
        </row>
        <row r="50">
          <cell r="A50"/>
          <cell r="N50" t="str">
            <v>T2G - Enregistrement NET</v>
          </cell>
          <cell r="O50"/>
          <cell r="P50" t="str">
            <v>W22</v>
          </cell>
          <cell r="Q50" t="str">
            <v>S23</v>
          </cell>
          <cell r="R50" t="str">
            <v>W23</v>
          </cell>
          <cell r="S50" t="str">
            <v>S24</v>
          </cell>
          <cell r="T50" t="str">
            <v>W24</v>
          </cell>
          <cell r="U50" t="str">
            <v>S25</v>
          </cell>
          <cell r="V50" t="str">
            <v>W25</v>
          </cell>
          <cell r="W50" t="str">
            <v>S26</v>
          </cell>
          <cell r="X50" t="str">
            <v>W26</v>
          </cell>
        </row>
        <row r="51">
          <cell r="A51"/>
          <cell r="N51" t="str">
            <v>Hall A</v>
          </cell>
          <cell r="O51" t="str">
            <v>Banques</v>
          </cell>
          <cell r="P51">
            <v>12</v>
          </cell>
          <cell r="Q51">
            <v>12</v>
          </cell>
          <cell r="R51">
            <v>12</v>
          </cell>
          <cell r="S51">
            <v>12</v>
          </cell>
          <cell r="T51">
            <v>12</v>
          </cell>
          <cell r="U51">
            <v>12</v>
          </cell>
          <cell r="V51">
            <v>12</v>
          </cell>
          <cell r="W51">
            <v>12</v>
          </cell>
          <cell r="X51">
            <v>12</v>
          </cell>
        </row>
        <row r="52">
          <cell r="A52"/>
          <cell r="N52"/>
          <cell r="O52" t="str">
            <v>DBA</v>
          </cell>
          <cell r="P52">
            <v>3</v>
          </cell>
          <cell r="Q52">
            <v>3</v>
          </cell>
          <cell r="R52">
            <v>3</v>
          </cell>
          <cell r="S52">
            <v>3</v>
          </cell>
          <cell r="T52">
            <v>3</v>
          </cell>
          <cell r="U52">
            <v>3</v>
          </cell>
          <cell r="V52">
            <v>6</v>
          </cell>
          <cell r="W52">
            <v>6</v>
          </cell>
          <cell r="X52">
            <v>6</v>
          </cell>
        </row>
        <row r="53">
          <cell r="A53"/>
          <cell r="N53"/>
          <cell r="O53" t="str">
            <v>TS6</v>
          </cell>
          <cell r="P53">
            <v>8</v>
          </cell>
          <cell r="Q53">
            <v>8</v>
          </cell>
          <cell r="R53">
            <v>8</v>
          </cell>
          <cell r="S53">
            <v>8</v>
          </cell>
          <cell r="T53">
            <v>8</v>
          </cell>
          <cell r="U53">
            <v>8</v>
          </cell>
          <cell r="V53">
            <v>8</v>
          </cell>
          <cell r="W53">
            <v>8</v>
          </cell>
          <cell r="X53">
            <v>8</v>
          </cell>
        </row>
        <row r="54">
          <cell r="A54"/>
          <cell r="N54" t="str">
            <v>GLOBAL</v>
          </cell>
          <cell r="O54" t="str">
            <v>NB Banques</v>
          </cell>
          <cell r="P54">
            <v>12</v>
          </cell>
          <cell r="Q54">
            <v>12</v>
          </cell>
          <cell r="R54">
            <v>12</v>
          </cell>
          <cell r="S54">
            <v>12</v>
          </cell>
          <cell r="T54">
            <v>12</v>
          </cell>
          <cell r="U54">
            <v>12</v>
          </cell>
          <cell r="V54">
            <v>12</v>
          </cell>
          <cell r="W54">
            <v>12</v>
          </cell>
          <cell r="X54">
            <v>12</v>
          </cell>
        </row>
        <row r="55">
          <cell r="A55"/>
          <cell r="N55"/>
          <cell r="O55" t="str">
            <v>NB DBA</v>
          </cell>
          <cell r="P55">
            <v>3</v>
          </cell>
          <cell r="Q55">
            <v>3</v>
          </cell>
          <cell r="R55">
            <v>3</v>
          </cell>
          <cell r="S55">
            <v>3</v>
          </cell>
          <cell r="T55">
            <v>3</v>
          </cell>
          <cell r="U55">
            <v>3</v>
          </cell>
          <cell r="V55">
            <v>6</v>
          </cell>
          <cell r="W55">
            <v>6</v>
          </cell>
          <cell r="X55">
            <v>6</v>
          </cell>
        </row>
        <row r="56">
          <cell r="A56"/>
          <cell r="N56"/>
          <cell r="O56" t="str">
            <v>NB TS6</v>
          </cell>
          <cell r="P56">
            <v>8</v>
          </cell>
          <cell r="Q56">
            <v>8</v>
          </cell>
          <cell r="R56">
            <v>8</v>
          </cell>
          <cell r="S56">
            <v>8</v>
          </cell>
          <cell r="T56">
            <v>8</v>
          </cell>
          <cell r="U56">
            <v>8</v>
          </cell>
          <cell r="V56">
            <v>8</v>
          </cell>
          <cell r="W56">
            <v>8</v>
          </cell>
          <cell r="X56">
            <v>8</v>
          </cell>
        </row>
        <row r="57">
          <cell r="A57"/>
        </row>
        <row r="58">
          <cell r="A58"/>
          <cell r="N58" t="str">
            <v>Débit / Faisceaux</v>
          </cell>
          <cell r="O58" t="str">
            <v>Schengen</v>
          </cell>
          <cell r="P58">
            <v>25</v>
          </cell>
          <cell r="Q58">
            <v>25</v>
          </cell>
          <cell r="R58">
            <v>25</v>
          </cell>
          <cell r="S58">
            <v>25</v>
          </cell>
          <cell r="T58">
            <v>25</v>
          </cell>
          <cell r="U58">
            <v>25</v>
          </cell>
          <cell r="V58">
            <v>25</v>
          </cell>
          <cell r="W58">
            <v>25</v>
          </cell>
          <cell r="X58">
            <v>25</v>
          </cell>
        </row>
        <row r="59">
          <cell r="A59"/>
          <cell r="N59"/>
          <cell r="O59"/>
        </row>
        <row r="60">
          <cell r="A60"/>
          <cell r="N60" t="str">
            <v>Facteur déproductivité</v>
          </cell>
          <cell r="O60"/>
          <cell r="P60">
            <v>0.95</v>
          </cell>
          <cell r="Q60">
            <v>0.95</v>
          </cell>
          <cell r="R60">
            <v>0.95</v>
          </cell>
          <cell r="S60">
            <v>0.95</v>
          </cell>
          <cell r="T60">
            <v>0.95</v>
          </cell>
          <cell r="U60">
            <v>0.95</v>
          </cell>
          <cell r="V60">
            <v>0.95</v>
          </cell>
          <cell r="W60">
            <v>0.95</v>
          </cell>
          <cell r="X60">
            <v>0.95</v>
          </cell>
        </row>
        <row r="61">
          <cell r="A61"/>
          <cell r="N61"/>
          <cell r="O61"/>
        </row>
        <row r="62">
          <cell r="A62"/>
          <cell r="N62" t="str">
            <v>Débit Enregistrement</v>
          </cell>
          <cell r="O62"/>
          <cell r="P62">
            <v>285</v>
          </cell>
          <cell r="Q62">
            <v>285</v>
          </cell>
          <cell r="R62">
            <v>285</v>
          </cell>
          <cell r="S62">
            <v>285</v>
          </cell>
          <cell r="T62">
            <v>285</v>
          </cell>
          <cell r="U62">
            <v>285</v>
          </cell>
          <cell r="V62">
            <v>285</v>
          </cell>
          <cell r="W62">
            <v>285</v>
          </cell>
          <cell r="X62">
            <v>285</v>
          </cell>
        </row>
        <row r="63">
          <cell r="A63"/>
          <cell r="N63"/>
          <cell r="O63"/>
        </row>
        <row r="64">
          <cell r="A64"/>
          <cell r="N64"/>
          <cell r="O64"/>
        </row>
        <row r="65">
          <cell r="A65"/>
          <cell r="N65"/>
          <cell r="O65"/>
        </row>
        <row r="66">
          <cell r="A66"/>
          <cell r="N66" t="str">
            <v>T2G - Surface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/>
        </row>
        <row r="68">
          <cell r="A68"/>
          <cell r="N68" t="str">
            <v>SURFACE GLOBAL</v>
          </cell>
          <cell r="O68"/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/>
          <cell r="N69"/>
          <cell r="O69"/>
        </row>
        <row r="70">
          <cell r="A70"/>
          <cell r="N70" t="str">
            <v>Temps d'attente maximum (min)</v>
          </cell>
          <cell r="O70"/>
          <cell r="P70">
            <v>15</v>
          </cell>
          <cell r="Q70">
            <v>15</v>
          </cell>
          <cell r="R70">
            <v>15</v>
          </cell>
          <cell r="S70">
            <v>15</v>
          </cell>
          <cell r="T70">
            <v>15</v>
          </cell>
          <cell r="U70">
            <v>15</v>
          </cell>
          <cell r="V70">
            <v>15</v>
          </cell>
          <cell r="W70">
            <v>15</v>
          </cell>
          <cell r="X70">
            <v>15</v>
          </cell>
        </row>
        <row r="71">
          <cell r="A71"/>
          <cell r="N71" t="str">
            <v>Standard IATA C (m2/PAX)</v>
          </cell>
          <cell r="O71"/>
          <cell r="P71">
            <v>1.4</v>
          </cell>
          <cell r="Q71">
            <v>1.4</v>
          </cell>
          <cell r="R71">
            <v>1.4</v>
          </cell>
          <cell r="S71">
            <v>1.4</v>
          </cell>
          <cell r="T71">
            <v>1.4</v>
          </cell>
          <cell r="U71">
            <v>1.4</v>
          </cell>
          <cell r="V71">
            <v>1.4</v>
          </cell>
          <cell r="W71">
            <v>1.4</v>
          </cell>
          <cell r="X71">
            <v>1.4</v>
          </cell>
        </row>
        <row r="72">
          <cell r="A72"/>
          <cell r="N72"/>
          <cell r="O72"/>
        </row>
        <row r="73">
          <cell r="A73"/>
          <cell r="N73" t="str">
            <v>Attente Enregistrement</v>
          </cell>
          <cell r="O73"/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/>
          <cell r="O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4">
          <cell r="A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</row>
        <row r="85">
          <cell r="A85" t="str">
            <v>Frontières DEP</v>
          </cell>
        </row>
        <row r="86">
          <cell r="A86"/>
          <cell r="I86"/>
          <cell r="J86"/>
          <cell r="K86"/>
          <cell r="L86"/>
          <cell r="M86"/>
          <cell r="N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</row>
        <row r="87">
          <cell r="A87"/>
          <cell r="I87"/>
          <cell r="J87"/>
          <cell r="K87"/>
          <cell r="L87"/>
          <cell r="M87"/>
          <cell r="N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</row>
        <row r="88">
          <cell r="A88"/>
          <cell r="I88"/>
          <cell r="J88"/>
          <cell r="K88"/>
          <cell r="L88"/>
          <cell r="M88"/>
          <cell r="N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</row>
        <row r="89">
          <cell r="A89"/>
          <cell r="I89"/>
          <cell r="J89"/>
          <cell r="K89"/>
          <cell r="L89"/>
          <cell r="M89"/>
          <cell r="N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</row>
        <row r="90">
          <cell r="A90"/>
          <cell r="I90"/>
          <cell r="J90"/>
          <cell r="K90"/>
          <cell r="L90"/>
          <cell r="M90"/>
          <cell r="N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</row>
        <row r="91">
          <cell r="A91"/>
          <cell r="I91"/>
          <cell r="J91"/>
          <cell r="K91"/>
          <cell r="L91"/>
          <cell r="M91"/>
          <cell r="N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</row>
        <row r="92">
          <cell r="A92"/>
          <cell r="I92"/>
          <cell r="J92"/>
          <cell r="K92"/>
          <cell r="L92"/>
          <cell r="M92"/>
          <cell r="N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</row>
        <row r="93">
          <cell r="A93"/>
          <cell r="I93"/>
          <cell r="J93"/>
          <cell r="K93"/>
          <cell r="L93"/>
          <cell r="M93"/>
          <cell r="N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</row>
        <row r="94">
          <cell r="A94"/>
          <cell r="I94"/>
          <cell r="J94"/>
          <cell r="K94"/>
          <cell r="L94"/>
          <cell r="M94"/>
          <cell r="N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</row>
        <row r="95">
          <cell r="A95"/>
          <cell r="I95"/>
          <cell r="J95"/>
          <cell r="K95"/>
          <cell r="L95"/>
          <cell r="M95"/>
          <cell r="N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</row>
        <row r="96">
          <cell r="A96"/>
          <cell r="I96"/>
          <cell r="J96"/>
          <cell r="K96"/>
          <cell r="L96"/>
          <cell r="M96"/>
          <cell r="N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</row>
        <row r="97">
          <cell r="A97"/>
          <cell r="I97"/>
          <cell r="J97"/>
          <cell r="K97"/>
          <cell r="L97"/>
          <cell r="M97"/>
          <cell r="N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/>
          <cell r="I98"/>
          <cell r="J98"/>
          <cell r="K98"/>
          <cell r="L98"/>
          <cell r="M98"/>
          <cell r="N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</row>
        <row r="99">
          <cell r="A99"/>
          <cell r="I99"/>
          <cell r="J99"/>
          <cell r="K99"/>
          <cell r="L99"/>
          <cell r="M99"/>
          <cell r="N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</row>
        <row r="100">
          <cell r="A100"/>
          <cell r="I100"/>
          <cell r="J100"/>
          <cell r="K100"/>
          <cell r="L100"/>
          <cell r="M100"/>
          <cell r="P100"/>
          <cell r="Q100"/>
          <cell r="R100"/>
          <cell r="S100"/>
          <cell r="T100"/>
          <cell r="U100"/>
          <cell r="V100"/>
        </row>
        <row r="102">
          <cell r="A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</row>
        <row r="103">
          <cell r="A103" t="str">
            <v>Tri Bagage</v>
          </cell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3">
          <cell r="A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</row>
        <row r="114">
          <cell r="A114" t="str">
            <v>PIF</v>
          </cell>
        </row>
        <row r="115">
          <cell r="A115"/>
          <cell r="H115"/>
          <cell r="I115"/>
          <cell r="O115" t="str">
            <v>T2G - PIF Centraux</v>
          </cell>
          <cell r="P115" t="str">
            <v>W22</v>
          </cell>
          <cell r="Q115" t="str">
            <v>S23</v>
          </cell>
          <cell r="R115" t="str">
            <v>W23</v>
          </cell>
          <cell r="S115" t="str">
            <v>S24</v>
          </cell>
          <cell r="T115" t="str">
            <v>W24</v>
          </cell>
          <cell r="U115" t="str">
            <v>S25</v>
          </cell>
          <cell r="V115" t="str">
            <v>W25</v>
          </cell>
          <cell r="W115" t="str">
            <v>S26</v>
          </cell>
          <cell r="X115" t="str">
            <v>W26</v>
          </cell>
          <cell r="Z115"/>
        </row>
        <row r="116">
          <cell r="A116"/>
          <cell r="I116"/>
          <cell r="J116"/>
          <cell r="R116"/>
          <cell r="S116"/>
          <cell r="T116"/>
          <cell r="U116"/>
          <cell r="V116"/>
          <cell r="W116"/>
          <cell r="X116"/>
          <cell r="Z116"/>
        </row>
        <row r="117">
          <cell r="A117"/>
          <cell r="I117"/>
          <cell r="J117"/>
          <cell r="O117" t="str">
            <v>NB LAM</v>
          </cell>
          <cell r="P117"/>
          <cell r="Q117"/>
          <cell r="R117"/>
          <cell r="S117"/>
          <cell r="T117"/>
          <cell r="U117"/>
          <cell r="V117"/>
          <cell r="W117"/>
          <cell r="X117"/>
          <cell r="Z117"/>
        </row>
        <row r="118">
          <cell r="A118"/>
          <cell r="I118"/>
          <cell r="J118"/>
          <cell r="O118" t="str">
            <v>Débit LAM</v>
          </cell>
          <cell r="R118"/>
          <cell r="S118"/>
          <cell r="T118"/>
          <cell r="U118"/>
          <cell r="V118"/>
          <cell r="W118"/>
          <cell r="X118"/>
          <cell r="Z118"/>
        </row>
        <row r="119">
          <cell r="A119"/>
          <cell r="I119"/>
          <cell r="J119"/>
          <cell r="R119"/>
          <cell r="S119"/>
          <cell r="T119"/>
          <cell r="U119"/>
          <cell r="V119"/>
          <cell r="W119"/>
          <cell r="X119"/>
          <cell r="Z119"/>
        </row>
        <row r="120">
          <cell r="A120"/>
          <cell r="I120"/>
          <cell r="J120"/>
          <cell r="O120" t="str">
            <v>NB STD</v>
          </cell>
          <cell r="P120">
            <v>7</v>
          </cell>
          <cell r="Q120">
            <v>7</v>
          </cell>
          <cell r="R120">
            <v>7</v>
          </cell>
          <cell r="S120">
            <v>7</v>
          </cell>
          <cell r="T120">
            <v>7</v>
          </cell>
          <cell r="U120">
            <v>7</v>
          </cell>
          <cell r="V120">
            <v>7</v>
          </cell>
          <cell r="W120">
            <v>7</v>
          </cell>
          <cell r="X120">
            <v>7</v>
          </cell>
          <cell r="Z120"/>
        </row>
        <row r="121">
          <cell r="A121"/>
          <cell r="I121"/>
          <cell r="J121"/>
          <cell r="O121" t="str">
            <v>Débit STD</v>
          </cell>
          <cell r="P121">
            <v>120</v>
          </cell>
          <cell r="Q121">
            <v>120</v>
          </cell>
          <cell r="R121">
            <v>120</v>
          </cell>
          <cell r="S121">
            <v>120</v>
          </cell>
          <cell r="T121">
            <v>120</v>
          </cell>
          <cell r="U121">
            <v>120</v>
          </cell>
          <cell r="V121">
            <v>120</v>
          </cell>
          <cell r="W121">
            <v>120</v>
          </cell>
          <cell r="X121">
            <v>100</v>
          </cell>
          <cell r="Z121"/>
        </row>
        <row r="122">
          <cell r="A122"/>
          <cell r="I122"/>
          <cell r="J122"/>
          <cell r="R122"/>
          <cell r="S122"/>
          <cell r="T122"/>
          <cell r="U122"/>
          <cell r="V122"/>
          <cell r="W122"/>
          <cell r="X122"/>
          <cell r="Z122"/>
        </row>
        <row r="123">
          <cell r="A123"/>
          <cell r="I123"/>
          <cell r="J123"/>
          <cell r="O123" t="str">
            <v>Débit PIF</v>
          </cell>
          <cell r="P123">
            <v>840</v>
          </cell>
          <cell r="Q123">
            <v>840</v>
          </cell>
          <cell r="R123">
            <v>840</v>
          </cell>
          <cell r="S123">
            <v>840</v>
          </cell>
          <cell r="T123">
            <v>840</v>
          </cell>
          <cell r="U123">
            <v>840</v>
          </cell>
          <cell r="V123">
            <v>840</v>
          </cell>
          <cell r="W123">
            <v>840</v>
          </cell>
          <cell r="X123">
            <v>700</v>
          </cell>
          <cell r="Z123"/>
        </row>
        <row r="124">
          <cell r="A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W126"/>
          <cell r="X126"/>
        </row>
        <row r="127">
          <cell r="A127"/>
          <cell r="O127" t="str">
            <v>T2G - Surface PIF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/>
          <cell r="W128"/>
          <cell r="X128"/>
        </row>
        <row r="129">
          <cell r="A129"/>
          <cell r="O129" t="str">
            <v>SURFACE GLOBAL</v>
          </cell>
          <cell r="P129">
            <v>123</v>
          </cell>
          <cell r="Q129">
            <v>123</v>
          </cell>
          <cell r="R129">
            <v>123</v>
          </cell>
          <cell r="S129">
            <v>123</v>
          </cell>
          <cell r="T129">
            <v>123</v>
          </cell>
          <cell r="U129">
            <v>123</v>
          </cell>
          <cell r="V129">
            <v>123</v>
          </cell>
          <cell r="W129">
            <v>123</v>
          </cell>
          <cell r="X129">
            <v>123</v>
          </cell>
        </row>
        <row r="130">
          <cell r="A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</row>
        <row r="131">
          <cell r="A131"/>
          <cell r="O131" t="str">
            <v>Temps d'attente maximum (min)</v>
          </cell>
          <cell r="P131">
            <v>10</v>
          </cell>
          <cell r="Q131">
            <v>10</v>
          </cell>
          <cell r="R131">
            <v>10</v>
          </cell>
          <cell r="S131">
            <v>10</v>
          </cell>
          <cell r="T131">
            <v>10</v>
          </cell>
          <cell r="U131">
            <v>10</v>
          </cell>
          <cell r="V131">
            <v>10</v>
          </cell>
          <cell r="W131">
            <v>10</v>
          </cell>
          <cell r="X131">
            <v>10</v>
          </cell>
        </row>
        <row r="132">
          <cell r="A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O133"/>
        </row>
        <row r="134">
          <cell r="A134"/>
          <cell r="O134" t="str">
            <v>Attente PIF</v>
          </cell>
          <cell r="P134">
            <v>738</v>
          </cell>
          <cell r="Q134">
            <v>738</v>
          </cell>
          <cell r="R134">
            <v>738</v>
          </cell>
          <cell r="S134">
            <v>738</v>
          </cell>
          <cell r="T134">
            <v>738</v>
          </cell>
          <cell r="U134">
            <v>738</v>
          </cell>
          <cell r="V134">
            <v>738</v>
          </cell>
          <cell r="W134">
            <v>738</v>
          </cell>
          <cell r="X134">
            <v>738</v>
          </cell>
        </row>
        <row r="135">
          <cell r="A135"/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9">
          <cell r="A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 t="str">
            <v>Embarquement</v>
          </cell>
        </row>
        <row r="141">
          <cell r="A141"/>
          <cell r="N141" t="str">
            <v>T2G - Circuits embarquements NET</v>
          </cell>
          <cell r="O141"/>
          <cell r="P141" t="str">
            <v>W22</v>
          </cell>
          <cell r="Q141" t="str">
            <v>S23</v>
          </cell>
          <cell r="R141" t="str">
            <v>W23</v>
          </cell>
          <cell r="S141" t="str">
            <v>S24</v>
          </cell>
          <cell r="T141" t="str">
            <v>W24</v>
          </cell>
          <cell r="U141" t="str">
            <v>S25</v>
          </cell>
          <cell r="V141" t="str">
            <v>W25</v>
          </cell>
          <cell r="W141" t="str">
            <v>S26</v>
          </cell>
          <cell r="X141" t="str">
            <v>W26</v>
          </cell>
        </row>
        <row r="142">
          <cell r="A142"/>
          <cell r="N142" t="str">
            <v>T2G - Contact</v>
          </cell>
          <cell r="O142" t="str">
            <v>A/B</v>
          </cell>
          <cell r="P142"/>
          <cell r="Q142"/>
          <cell r="R142"/>
          <cell r="S142"/>
          <cell r="T142"/>
          <cell r="U142"/>
          <cell r="V142"/>
        </row>
        <row r="143">
          <cell r="A143"/>
          <cell r="N143"/>
          <cell r="O143" t="str">
            <v>C</v>
          </cell>
          <cell r="P143">
            <v>18</v>
          </cell>
          <cell r="Q143">
            <v>18</v>
          </cell>
          <cell r="R143">
            <v>18</v>
          </cell>
          <cell r="S143">
            <v>18</v>
          </cell>
          <cell r="T143">
            <v>18</v>
          </cell>
          <cell r="U143">
            <v>18</v>
          </cell>
          <cell r="V143">
            <v>18</v>
          </cell>
          <cell r="W143">
            <v>18</v>
          </cell>
          <cell r="X143"/>
          <cell r="Y143"/>
        </row>
        <row r="144">
          <cell r="A144"/>
          <cell r="N144"/>
          <cell r="O144" t="str">
            <v>D</v>
          </cell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N145"/>
          <cell r="O145" t="str">
            <v>E</v>
          </cell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N146"/>
          <cell r="O146" t="str">
            <v>F</v>
          </cell>
          <cell r="P146"/>
          <cell r="Q146"/>
          <cell r="R146"/>
          <cell r="S146"/>
          <cell r="T146"/>
          <cell r="U146"/>
          <cell r="V146"/>
          <cell r="W146"/>
          <cell r="X146"/>
        </row>
        <row r="147">
          <cell r="A147"/>
          <cell r="N147" t="str">
            <v>T2G Total</v>
          </cell>
          <cell r="O147"/>
          <cell r="P147">
            <v>18</v>
          </cell>
          <cell r="Q147">
            <v>18</v>
          </cell>
          <cell r="R147">
            <v>18</v>
          </cell>
          <cell r="S147">
            <v>18</v>
          </cell>
          <cell r="T147">
            <v>18</v>
          </cell>
          <cell r="U147">
            <v>18</v>
          </cell>
          <cell r="V147">
            <v>18</v>
          </cell>
          <cell r="W147">
            <v>18</v>
          </cell>
          <cell r="X147"/>
        </row>
        <row r="148">
          <cell r="A148"/>
          <cell r="O148"/>
        </row>
        <row r="149">
          <cell r="A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</row>
        <row r="150">
          <cell r="A150"/>
          <cell r="K150" t="str">
            <v>Offre siège porteur</v>
          </cell>
          <cell r="L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K151" t="str">
            <v>A/B</v>
          </cell>
          <cell r="L151">
            <v>80</v>
          </cell>
          <cell r="N151"/>
          <cell r="O151" t="str">
            <v>Débit EMB - TOTAL</v>
          </cell>
          <cell r="P151">
            <v>1530</v>
          </cell>
          <cell r="Q151">
            <v>1530</v>
          </cell>
          <cell r="R151">
            <v>1530</v>
          </cell>
          <cell r="S151">
            <v>1530</v>
          </cell>
          <cell r="T151">
            <v>1530</v>
          </cell>
          <cell r="U151">
            <v>1530</v>
          </cell>
          <cell r="V151">
            <v>1530</v>
          </cell>
          <cell r="W151">
            <v>1530</v>
          </cell>
          <cell r="X151"/>
        </row>
        <row r="152">
          <cell r="A152"/>
          <cell r="K152" t="str">
            <v>C</v>
          </cell>
          <cell r="L152">
            <v>100</v>
          </cell>
          <cell r="N152"/>
          <cell r="O152"/>
          <cell r="P152"/>
          <cell r="Q152"/>
          <cell r="R152"/>
          <cell r="S152"/>
          <cell r="T152"/>
          <cell r="U152"/>
          <cell r="V152"/>
        </row>
        <row r="153">
          <cell r="A153"/>
          <cell r="K153" t="str">
            <v>D</v>
          </cell>
          <cell r="L153">
            <v>250</v>
          </cell>
          <cell r="N153"/>
          <cell r="O153"/>
          <cell r="P153"/>
          <cell r="Q153"/>
          <cell r="R153"/>
          <cell r="S153"/>
          <cell r="T153"/>
          <cell r="U153"/>
          <cell r="V153"/>
        </row>
        <row r="154">
          <cell r="A154"/>
          <cell r="K154" t="str">
            <v>E</v>
          </cell>
          <cell r="L154">
            <v>320</v>
          </cell>
          <cell r="N154"/>
          <cell r="O154"/>
          <cell r="P154"/>
          <cell r="Q154"/>
          <cell r="R154"/>
          <cell r="S154"/>
          <cell r="T154"/>
          <cell r="U154"/>
          <cell r="V154"/>
        </row>
        <row r="155">
          <cell r="A155"/>
          <cell r="K155" t="str">
            <v>F</v>
          </cell>
          <cell r="L155">
            <v>500</v>
          </cell>
          <cell r="N155"/>
          <cell r="O155"/>
          <cell r="P155"/>
          <cell r="Q155"/>
          <cell r="R155"/>
          <cell r="S155"/>
          <cell r="T155"/>
          <cell r="U155"/>
          <cell r="V155"/>
        </row>
        <row r="156">
          <cell r="A156"/>
          <cell r="N156"/>
          <cell r="O156"/>
          <cell r="P156"/>
          <cell r="Q156"/>
          <cell r="R156"/>
          <cell r="S156"/>
          <cell r="T156"/>
          <cell r="U156"/>
          <cell r="V156"/>
        </row>
        <row r="157">
          <cell r="A157"/>
          <cell r="K157" t="str">
            <v>Taux de remplissage</v>
          </cell>
          <cell r="L157"/>
          <cell r="N157"/>
          <cell r="O157"/>
          <cell r="P157"/>
          <cell r="Q157"/>
          <cell r="R157"/>
          <cell r="S157"/>
          <cell r="T157"/>
          <cell r="U157"/>
          <cell r="V157"/>
        </row>
        <row r="158">
          <cell r="A158"/>
          <cell r="K158">
            <v>0.85</v>
          </cell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</row>
        <row r="159">
          <cell r="A159"/>
          <cell r="N159"/>
          <cell r="O159"/>
          <cell r="P159"/>
          <cell r="Q159"/>
          <cell r="R159"/>
          <cell r="S159"/>
          <cell r="T159"/>
          <cell r="U159"/>
          <cell r="V159"/>
        </row>
        <row r="160">
          <cell r="A160"/>
          <cell r="N160"/>
          <cell r="O160"/>
          <cell r="P160"/>
          <cell r="Q160"/>
          <cell r="R160"/>
          <cell r="S160"/>
          <cell r="T160"/>
          <cell r="U160"/>
          <cell r="V160"/>
        </row>
        <row r="161">
          <cell r="A161"/>
          <cell r="O161"/>
        </row>
        <row r="162">
          <cell r="A162"/>
        </row>
        <row r="163">
          <cell r="A163"/>
          <cell r="O163" t="str">
            <v>T2G - Embarquement Niv1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</row>
        <row r="164">
          <cell r="A164"/>
          <cell r="R164"/>
          <cell r="S164"/>
          <cell r="T164"/>
          <cell r="U164"/>
          <cell r="V164"/>
        </row>
        <row r="165">
          <cell r="A165"/>
          <cell r="O165" t="str">
            <v>Surface d'attente utile (m2)</v>
          </cell>
          <cell r="P165">
            <v>1666</v>
          </cell>
          <cell r="Q165">
            <v>1666</v>
          </cell>
          <cell r="R165">
            <v>1666</v>
          </cell>
          <cell r="S165">
            <v>1666</v>
          </cell>
          <cell r="T165">
            <v>1666</v>
          </cell>
          <cell r="U165">
            <v>1666</v>
          </cell>
          <cell r="V165">
            <v>1666</v>
          </cell>
          <cell r="W165">
            <v>1666</v>
          </cell>
          <cell r="X165"/>
        </row>
        <row r="166">
          <cell r="A166"/>
          <cell r="O166" t="str">
            <v>Temps moyen d'occupation (min)</v>
          </cell>
          <cell r="P166">
            <v>90</v>
          </cell>
          <cell r="Q166">
            <v>90</v>
          </cell>
          <cell r="R166">
            <v>90</v>
          </cell>
          <cell r="S166">
            <v>90</v>
          </cell>
          <cell r="T166">
            <v>90</v>
          </cell>
          <cell r="U166">
            <v>90</v>
          </cell>
          <cell r="V166">
            <v>90</v>
          </cell>
          <cell r="W166">
            <v>90</v>
          </cell>
        </row>
        <row r="167">
          <cell r="A167"/>
          <cell r="O167" t="str">
            <v>Standard IATA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</row>
        <row r="168">
          <cell r="A168"/>
          <cell r="O168" t="str">
            <v>Taux d'occupation MAX IATA</v>
          </cell>
          <cell r="P168">
            <v>0.65</v>
          </cell>
          <cell r="Q168">
            <v>0.65</v>
          </cell>
          <cell r="R168">
            <v>0.65</v>
          </cell>
          <cell r="S168">
            <v>0.65</v>
          </cell>
          <cell r="T168">
            <v>0.65</v>
          </cell>
          <cell r="U168">
            <v>0.65</v>
          </cell>
          <cell r="V168">
            <v>0.65</v>
          </cell>
          <cell r="W168">
            <v>0.65</v>
          </cell>
        </row>
        <row r="169">
          <cell r="A169"/>
        </row>
        <row r="170">
          <cell r="A170"/>
          <cell r="O170" t="str">
            <v>Attente EMB Niv1</v>
          </cell>
          <cell r="P170">
            <v>721.93333333333328</v>
          </cell>
          <cell r="Q170">
            <v>721.93333333333328</v>
          </cell>
          <cell r="R170">
            <v>721.93333333333328</v>
          </cell>
          <cell r="S170">
            <v>721.93333333333328</v>
          </cell>
          <cell r="T170">
            <v>721.93333333333328</v>
          </cell>
          <cell r="U170">
            <v>721.93333333333328</v>
          </cell>
          <cell r="V170">
            <v>721.93333333333328</v>
          </cell>
          <cell r="W170">
            <v>721.93333333333328</v>
          </cell>
          <cell r="X170"/>
        </row>
        <row r="171">
          <cell r="A171"/>
        </row>
        <row r="172">
          <cell r="A172"/>
        </row>
        <row r="173">
          <cell r="A173"/>
          <cell r="O173"/>
        </row>
        <row r="174">
          <cell r="A174"/>
        </row>
        <row r="175">
          <cell r="A175"/>
        </row>
        <row r="176">
          <cell r="A176"/>
        </row>
        <row r="178">
          <cell r="A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</row>
        <row r="179">
          <cell r="A179" t="str">
            <v>Postes</v>
          </cell>
        </row>
        <row r="180">
          <cell r="A180"/>
          <cell r="N180" t="str">
            <v>T2G NET1 MAX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Z180" t="str">
            <v>T2G BRUT</v>
          </cell>
        </row>
        <row r="181">
          <cell r="A181"/>
          <cell r="N181" t="str">
            <v>Global - CONTACT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  <cell r="Z181" t="str">
            <v>T2G Contact</v>
          </cell>
        </row>
        <row r="182">
          <cell r="A182"/>
          <cell r="N182"/>
          <cell r="O182" t="str">
            <v>C</v>
          </cell>
          <cell r="P182">
            <v>18</v>
          </cell>
          <cell r="Q182">
            <v>18</v>
          </cell>
          <cell r="R182">
            <v>18</v>
          </cell>
          <cell r="S182">
            <v>18</v>
          </cell>
          <cell r="T182">
            <v>18</v>
          </cell>
          <cell r="U182">
            <v>18</v>
          </cell>
          <cell r="V182">
            <v>18</v>
          </cell>
          <cell r="W182">
            <v>18</v>
          </cell>
          <cell r="X182"/>
          <cell r="Z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  <cell r="Z183"/>
        </row>
        <row r="184">
          <cell r="A184"/>
          <cell r="N184"/>
          <cell r="O184" t="str">
            <v>E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/>
          <cell r="Z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  <cell r="Z185"/>
        </row>
        <row r="186">
          <cell r="A186"/>
          <cell r="N186"/>
          <cell r="O186" t="str">
            <v>T2G Contact</v>
          </cell>
          <cell r="P186">
            <v>18</v>
          </cell>
          <cell r="Q186">
            <v>18</v>
          </cell>
          <cell r="R186">
            <v>18</v>
          </cell>
          <cell r="S186">
            <v>18</v>
          </cell>
          <cell r="T186">
            <v>18</v>
          </cell>
          <cell r="U186">
            <v>18</v>
          </cell>
          <cell r="V186">
            <v>18</v>
          </cell>
          <cell r="W186">
            <v>18</v>
          </cell>
          <cell r="X186"/>
          <cell r="Z186"/>
        </row>
        <row r="187">
          <cell r="A187"/>
          <cell r="Z187" t="str">
            <v>T2G Large</v>
          </cell>
        </row>
        <row r="188">
          <cell r="A188"/>
          <cell r="N188" t="str">
            <v>Global - LARGE</v>
          </cell>
          <cell r="O188" t="str">
            <v>A/B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  <cell r="Z188"/>
        </row>
        <row r="189">
          <cell r="A189"/>
          <cell r="N189"/>
          <cell r="O189" t="str">
            <v>C</v>
          </cell>
          <cell r="P189">
            <v>5</v>
          </cell>
          <cell r="Q189">
            <v>5</v>
          </cell>
          <cell r="R189">
            <v>5</v>
          </cell>
          <cell r="S189">
            <v>5</v>
          </cell>
          <cell r="T189">
            <v>5</v>
          </cell>
          <cell r="U189">
            <v>5</v>
          </cell>
          <cell r="V189">
            <v>5</v>
          </cell>
          <cell r="W189">
            <v>5</v>
          </cell>
          <cell r="X189"/>
          <cell r="Z189"/>
        </row>
        <row r="190">
          <cell r="A190"/>
          <cell r="N190"/>
          <cell r="O190" t="str">
            <v>D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  <cell r="Z190"/>
        </row>
        <row r="191">
          <cell r="A191"/>
          <cell r="N191"/>
          <cell r="O191" t="str">
            <v>E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  <cell r="Z191"/>
        </row>
        <row r="192">
          <cell r="A192"/>
          <cell r="N192"/>
          <cell r="O192" t="str">
            <v>F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  <cell r="Z192"/>
        </row>
        <row r="193">
          <cell r="A193"/>
          <cell r="N193"/>
          <cell r="O193" t="str">
            <v>T2G Large</v>
          </cell>
          <cell r="P193">
            <v>5</v>
          </cell>
          <cell r="Q193">
            <v>5</v>
          </cell>
          <cell r="R193">
            <v>5</v>
          </cell>
          <cell r="S193">
            <v>5</v>
          </cell>
          <cell r="T193">
            <v>5</v>
          </cell>
          <cell r="U193">
            <v>5</v>
          </cell>
          <cell r="V193">
            <v>5</v>
          </cell>
          <cell r="W193">
            <v>5</v>
          </cell>
          <cell r="X193"/>
        </row>
        <row r="194">
          <cell r="A194"/>
        </row>
        <row r="196">
          <cell r="A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</row>
        <row r="197">
          <cell r="A197" t="str">
            <v>Frontières ARR</v>
          </cell>
          <cell r="I197"/>
          <cell r="J197"/>
          <cell r="K197"/>
          <cell r="L197"/>
          <cell r="M197"/>
          <cell r="N197"/>
          <cell r="P197"/>
          <cell r="Q197"/>
          <cell r="R197"/>
          <cell r="S197"/>
          <cell r="T197"/>
          <cell r="U197"/>
          <cell r="V197"/>
          <cell r="W197"/>
          <cell r="X197"/>
        </row>
        <row r="198">
          <cell r="A198"/>
          <cell r="I198"/>
          <cell r="J198"/>
          <cell r="K198"/>
          <cell r="L198"/>
          <cell r="M198"/>
          <cell r="N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</row>
        <row r="199">
          <cell r="A199"/>
          <cell r="I199"/>
          <cell r="J199"/>
          <cell r="K199"/>
          <cell r="L199"/>
          <cell r="M199"/>
          <cell r="N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</row>
        <row r="200">
          <cell r="A200"/>
          <cell r="I200"/>
          <cell r="J200"/>
          <cell r="K200"/>
          <cell r="L200"/>
          <cell r="M200"/>
          <cell r="N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</row>
        <row r="201">
          <cell r="A201"/>
          <cell r="I201"/>
          <cell r="J201"/>
          <cell r="K201"/>
          <cell r="L201"/>
          <cell r="M201"/>
          <cell r="N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</row>
        <row r="202">
          <cell r="A202"/>
          <cell r="I202"/>
          <cell r="J202"/>
          <cell r="K202"/>
          <cell r="L202"/>
          <cell r="M202"/>
          <cell r="N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</row>
        <row r="203">
          <cell r="A203"/>
          <cell r="I203"/>
          <cell r="J203"/>
          <cell r="K203"/>
          <cell r="L203"/>
          <cell r="M203"/>
          <cell r="N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I204"/>
          <cell r="J204"/>
          <cell r="K204"/>
          <cell r="L204"/>
          <cell r="M204"/>
          <cell r="N204"/>
          <cell r="P204"/>
          <cell r="Q204"/>
          <cell r="R204"/>
          <cell r="S204"/>
          <cell r="T204"/>
          <cell r="U204"/>
          <cell r="V204"/>
          <cell r="W204"/>
          <cell r="X204"/>
        </row>
        <row r="205">
          <cell r="A205"/>
          <cell r="I205"/>
          <cell r="J205"/>
          <cell r="K205"/>
          <cell r="L205"/>
          <cell r="M205"/>
          <cell r="N205"/>
          <cell r="P205"/>
          <cell r="Q205"/>
          <cell r="R205"/>
          <cell r="S205"/>
          <cell r="T205"/>
          <cell r="U205"/>
          <cell r="V205"/>
          <cell r="W205"/>
          <cell r="X205"/>
        </row>
        <row r="206">
          <cell r="A206"/>
          <cell r="I206"/>
          <cell r="J206"/>
          <cell r="K206"/>
          <cell r="L206"/>
          <cell r="M206"/>
          <cell r="N206"/>
          <cell r="P206"/>
          <cell r="Q206"/>
          <cell r="R206"/>
          <cell r="S206"/>
          <cell r="T206"/>
          <cell r="U206"/>
          <cell r="V206"/>
          <cell r="W206"/>
          <cell r="X206"/>
        </row>
        <row r="207">
          <cell r="A207"/>
          <cell r="I207"/>
          <cell r="J207"/>
          <cell r="K207"/>
          <cell r="L207"/>
          <cell r="M207"/>
          <cell r="N207"/>
          <cell r="P207"/>
          <cell r="Q207"/>
          <cell r="R207"/>
          <cell r="S207"/>
          <cell r="T207"/>
          <cell r="U207"/>
          <cell r="V207"/>
          <cell r="W207"/>
          <cell r="X207"/>
        </row>
        <row r="208">
          <cell r="A208"/>
          <cell r="I208"/>
          <cell r="J208"/>
          <cell r="K208"/>
          <cell r="L208"/>
          <cell r="M208"/>
          <cell r="N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I209"/>
          <cell r="J209"/>
          <cell r="K209"/>
          <cell r="L209"/>
          <cell r="M209"/>
          <cell r="N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I210"/>
          <cell r="J210"/>
          <cell r="K210"/>
          <cell r="L210"/>
          <cell r="M210"/>
          <cell r="N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J211"/>
          <cell r="K211"/>
          <cell r="L211"/>
          <cell r="M211"/>
          <cell r="P211"/>
          <cell r="Q211"/>
          <cell r="R211"/>
          <cell r="S211"/>
          <cell r="T211"/>
          <cell r="U211"/>
          <cell r="V211"/>
        </row>
        <row r="212">
          <cell r="A212"/>
          <cell r="I212"/>
          <cell r="J212"/>
          <cell r="K212"/>
          <cell r="L212"/>
          <cell r="M212"/>
          <cell r="P212"/>
          <cell r="Q212"/>
          <cell r="R212"/>
          <cell r="S212"/>
          <cell r="T212"/>
          <cell r="U212"/>
          <cell r="V212"/>
        </row>
        <row r="213">
          <cell r="A213"/>
          <cell r="J213"/>
          <cell r="K213"/>
          <cell r="L213"/>
          <cell r="M213"/>
          <cell r="N213"/>
          <cell r="Y213"/>
          <cell r="Z213"/>
        </row>
        <row r="214"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 t="str">
            <v>SLB</v>
          </cell>
          <cell r="I215"/>
          <cell r="J215"/>
          <cell r="K215"/>
          <cell r="L215"/>
          <cell r="M215"/>
          <cell r="N215"/>
          <cell r="Y215"/>
          <cell r="Z215"/>
        </row>
        <row r="216">
          <cell r="A216"/>
          <cell r="I216"/>
          <cell r="J216"/>
          <cell r="K216"/>
          <cell r="L216"/>
          <cell r="M216"/>
          <cell r="N216"/>
          <cell r="O216" t="str">
            <v>T2G - SLB</v>
          </cell>
          <cell r="P216" t="str">
            <v>W22</v>
          </cell>
          <cell r="Q216" t="str">
            <v>S23</v>
          </cell>
          <cell r="R216" t="str">
            <v>W23</v>
          </cell>
          <cell r="S216" t="str">
            <v>S24</v>
          </cell>
          <cell r="T216" t="str">
            <v>W24</v>
          </cell>
          <cell r="U216" t="str">
            <v>S25</v>
          </cell>
          <cell r="V216" t="str">
            <v>W25</v>
          </cell>
          <cell r="W216" t="str">
            <v>S26</v>
          </cell>
          <cell r="X216" t="str">
            <v>W26</v>
          </cell>
          <cell r="Y216"/>
          <cell r="Z216"/>
        </row>
        <row r="217">
          <cell r="A217"/>
        </row>
        <row r="218">
          <cell r="A218"/>
          <cell r="O218" t="str">
            <v>NB tapis - Courts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1</v>
          </cell>
        </row>
        <row r="219">
          <cell r="A219"/>
        </row>
        <row r="220">
          <cell r="A220"/>
          <cell r="O220" t="str">
            <v>NB tapis - Longs</v>
          </cell>
          <cell r="P220">
            <v>1</v>
          </cell>
          <cell r="Q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1</v>
          </cell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BA6E-2103-44B8-B42D-D62D11F5932E}">
  <dimension ref="A1:E33"/>
  <sheetViews>
    <sheetView tabSelected="1" workbookViewId="0">
      <selection activeCell="A19" sqref="A19:A22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18</v>
      </c>
      <c r="B2">
        <v>0</v>
      </c>
    </row>
    <row r="3" spans="1:5" x14ac:dyDescent="0.25">
      <c r="A3" t="s">
        <v>19</v>
      </c>
      <c r="B3" s="2" cm="1">
        <f t="array" ref="B3">INDEX(
[1]T2E!$A$1:$Z$1000,D3,E3)</f>
        <v>1800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SUMPRODUCT(MAX(ISNUMBER(SEARCH("S26",[1]T2E!$A$1:$Z$1000))*COLUMN([1]T2E!$A$1:$Z$1000)))</f>
        <v>23</v>
      </c>
    </row>
    <row r="4" spans="1:5" x14ac:dyDescent="0.25">
      <c r="A4" t="s">
        <v>20</v>
      </c>
      <c r="B4" s="2" cm="1">
        <f t="array" ref="B4">INDEX(
[1]T2E!$A$1:$Z$1000,D4,E4)</f>
        <v>1800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SUMPRODUCT(MAX(ISNUMBER(SEARCH("S26",[1]T2E!$A$1:$Z$1000))*COLUMN([1]T2E!$A$1:$Z$1000)))</f>
        <v>23</v>
      </c>
    </row>
    <row r="5" spans="1:5" x14ac:dyDescent="0.25">
      <c r="A5" t="s">
        <v>21</v>
      </c>
      <c r="B5" s="2" cm="1">
        <f t="array" ref="B5">INDEX(
[1]T2E!$A$1:$Z$1000,D5,E5)</f>
        <v>2080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SUMPRODUCT(MAX(ISNUMBER(SEARCH("S26",[1]T2E!$A$1:$Z$1000))*COLUMN([1]T2E!$A$1:$Z$1000)))</f>
        <v>23</v>
      </c>
    </row>
    <row r="6" spans="1:5" x14ac:dyDescent="0.25">
      <c r="A6" t="s">
        <v>22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SUMPRODUCT(MAX(ISNUMBER(SEARCH("S26",[1]T2E!$A$1:$Z$1000))*COLUMN([1]T2E!$A$1:$Z$1000)))</f>
        <v>23</v>
      </c>
    </row>
    <row r="7" spans="1:5" x14ac:dyDescent="0.25">
      <c r="A7" t="s">
        <v>23</v>
      </c>
      <c r="B7" s="2" cm="1">
        <f t="array" ref="B7">INDEX(
[1]T2E!$A$1:$Z$1000,D7,E7)</f>
        <v>2140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SUMPRODUCT(MAX(ISNUMBER(SEARCH("S26",[1]T2E!$A$1:$Z$1000))*COLUMN([1]T2E!$A$1:$Z$1000)))</f>
        <v>23</v>
      </c>
    </row>
    <row r="8" spans="1:5" x14ac:dyDescent="0.25">
      <c r="A8" t="s">
        <v>24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SUMPRODUCT(MAX(ISNUMBER(SEARCH("S26",[1]T2E!$A$1:$Z$1000))*COLUMN([1]T2E!$A$1:$Z$1000)))</f>
        <v>23</v>
      </c>
    </row>
    <row r="9" spans="1:5" x14ac:dyDescent="0.25">
      <c r="A9" t="s">
        <v>2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SUMPRODUCT(MAX(ISNUMBER(SEARCH("S26",[1]T2F!$A$1:$Z$1000))*COLUMN([1]T2F!$A$1:$Z$1000)))</f>
        <v>23</v>
      </c>
    </row>
    <row r="10" spans="1:5" x14ac:dyDescent="0.25">
      <c r="A10" t="s">
        <v>3</v>
      </c>
      <c r="B10" s="2" cm="1">
        <f t="array" ref="B10">INDEX(
[1]T2G!$A$1:$Z$1000,D10,E10)</f>
        <v>840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SUMPRODUCT(MAX(ISNUMBER(SEARCH("S26",[1]T2G!$A$1:$Z$1000))*COLUMN([1]T2G!$A$1:$Z$1000)))</f>
        <v>23</v>
      </c>
    </row>
    <row r="11" spans="1:5" x14ac:dyDescent="0.25">
      <c r="A11" t="s">
        <v>25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SUMPRODUCT(MAX(ISNUMBER(SEARCH("S26",[1]T2AC!$A$1:$Z$1000))*COLUMN([1]T2AC!$A$1:$Z$1000)))</f>
        <v>23</v>
      </c>
    </row>
    <row r="12" spans="1:5" x14ac:dyDescent="0.25">
      <c r="A12" t="s">
        <v>26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SUMPRODUCT(MAX(ISNUMBER(SEARCH("S26",[1]T2BD!$A$1:$Z$1000))*COLUMN([1]T2BD!$A$1:$Z$1000)))</f>
        <v>23</v>
      </c>
    </row>
    <row r="13" spans="1:5" x14ac:dyDescent="0.25">
      <c r="A13" t="s">
        <v>4</v>
      </c>
      <c r="B13" s="2" cm="1">
        <f t="array" ref="B13">INDEX(
[1]T3!$A$1:$Z$1000,D13,E13)</f>
        <v>1180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SUMPRODUCT(MAX(ISNUMBER(SEARCH("S26",[1]T3!$A$1:$Z$1000))*COLUMN([1]T3!$A$1:$Z$1000)))</f>
        <v>23</v>
      </c>
    </row>
    <row r="14" spans="1:5" x14ac:dyDescent="0.25">
      <c r="A14" t="s">
        <v>27</v>
      </c>
      <c r="B14" s="2" cm="1">
        <f t="array" ref="B14">INDEX(
[1]T1!$A$1:$Z$1000,D14,E14)</f>
        <v>2560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SUMPRODUCT(MAX(ISNUMBER(SEARCH("S26",[1]T1!$A$1:$Z$1000))*COLUMN([1]T1!$A$1:$Z$1000)))</f>
        <v>23</v>
      </c>
    </row>
    <row r="15" spans="1:5" x14ac:dyDescent="0.25">
      <c r="A15" t="s">
        <v>28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SUMPRODUCT(MAX(ISNUMBER(SEARCH("S26",[1]T1!$A$1:$Z$1000))*COLUMN([1]T1!$A$1:$Z$1000)))</f>
        <v>23</v>
      </c>
    </row>
    <row r="16" spans="1:5" x14ac:dyDescent="0.25">
      <c r="A16" t="s">
        <v>29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SUMPRODUCT(MAX(ISNUMBER(SEARCH("S26",[1]T1!$A$1:$Z$1000))*COLUMN([1]T1!$A$1:$Z$1000)))</f>
        <v>23</v>
      </c>
    </row>
    <row r="17" spans="1:5" x14ac:dyDescent="0.25">
      <c r="A17" t="s">
        <v>5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SUMPRODUCT(MAX(ISNUMBER(SEARCH("S26",[1]T2E!$A$1:$Z$1000))*COLUMN([1]T2E!$A$1:$Z$1000)))</f>
        <v>23</v>
      </c>
    </row>
    <row r="18" spans="1:5" x14ac:dyDescent="0.25">
      <c r="A18" t="s">
        <v>6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SUMPRODUCT(MAX(ISNUMBER(SEARCH("S26",[1]T2E!$A$1:$Z$1000))*COLUMN([1]T2E!$A$1:$Z$1000)))</f>
        <v>23</v>
      </c>
    </row>
    <row r="19" spans="1:5" x14ac:dyDescent="0.25">
      <c r="A19" t="s">
        <v>30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SUMPRODUCT(MAX(ISNUMBER(SEARCH("S26",[1]T2E!$A$1:$Z$1000))*COLUMN([1]T2E!$A$1:$Z$1000)))</f>
        <v>23</v>
      </c>
    </row>
    <row r="20" spans="1:5" x14ac:dyDescent="0.25">
      <c r="A20" t="s">
        <v>31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SUMPRODUCT(MAX(ISNUMBER(SEARCH("S26",[1]T2E!$A$1:$Z$1000))*COLUMN([1]T2E!$A$1:$Z$1000)))</f>
        <v>23</v>
      </c>
    </row>
    <row r="21" spans="1:5" x14ac:dyDescent="0.25">
      <c r="A21" t="s">
        <v>32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SUMPRODUCT(MAX(ISNUMBER(SEARCH("S26",[1]T2E!$A$1:$Z$1000))*COLUMN([1]T2E!$A$1:$Z$1000)))</f>
        <v>23</v>
      </c>
    </row>
    <row r="22" spans="1:5" x14ac:dyDescent="0.25">
      <c r="A22" t="s">
        <v>33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SUMPRODUCT(MAX(ISNUMBER(SEARCH("S26",[1]T2E!$A$1:$Z$1000))*COLUMN([1]T2E!$A$1:$Z$1000)))</f>
        <v>23</v>
      </c>
    </row>
    <row r="23" spans="1:5" x14ac:dyDescent="0.25">
      <c r="A23" t="s">
        <v>7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SUMPRODUCT(MAX(ISNUMBER(SEARCH("S26",[1]T2E!$A$1:$Z$1000))*COLUMN([1]T2E!$A$1:$Z$1000)))</f>
        <v>23</v>
      </c>
    </row>
    <row r="24" spans="1:5" x14ac:dyDescent="0.25">
      <c r="A24" t="s">
        <v>8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SUMPRODUCT(MAX(ISNUMBER(SEARCH("S26",[1]T2AC!$A$1:$Z$1000))*COLUMN([1]T2AC!$A$1:$Z$1000)))</f>
        <v>23</v>
      </c>
    </row>
    <row r="25" spans="1:5" x14ac:dyDescent="0.25">
      <c r="A25" t="s">
        <v>9</v>
      </c>
      <c r="B25" s="2" cm="1">
        <f t="array" ref="B25">INDEX(
[1]T2AC!$A$1:$Z$1000,D25,E25)</f>
        <v>3994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SUMPRODUCT(MAX(ISNUMBER(SEARCH("S26",[1]T2AC!$A$1:$Z$1000))*COLUMN([1]T2AC!$A$1:$Z$1000)))</f>
        <v>23</v>
      </c>
    </row>
    <row r="26" spans="1:5" x14ac:dyDescent="0.25">
      <c r="A26" t="s">
        <v>17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SUMPRODUCT(MAX(ISNUMBER(SEARCH("S26",[1]T2AC!$A$1:$Z$1000))*COLUMN([1]T2AC!$A$1:$Z$1000)))</f>
        <v>23</v>
      </c>
    </row>
    <row r="27" spans="1:5" x14ac:dyDescent="0.25">
      <c r="A27" t="s">
        <v>10</v>
      </c>
      <c r="B27" s="2" cm="1">
        <f t="array" ref="B27">INDEX(
[1]T2AC!$A$1:$Z$1000,D27,E27)</f>
        <v>1918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SUMPRODUCT(MAX(ISNUMBER(SEARCH("S26",[1]T2AC!$A$1:$Z$1000))*COLUMN([1]T2AC!$A$1:$Z$1000)))</f>
        <v>23</v>
      </c>
    </row>
    <row r="28" spans="1:5" x14ac:dyDescent="0.25">
      <c r="A28" t="s">
        <v>11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SUMPRODUCT(MAX(ISNUMBER(SEARCH("S26",[1]T2BD!$A$1:$Z$1000))*COLUMN([1]T2BD!$A$1:$Z$1000)))</f>
        <v>23</v>
      </c>
    </row>
    <row r="29" spans="1:5" x14ac:dyDescent="0.25">
      <c r="A29" t="s">
        <v>12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SUMPRODUCT(MAX(ISNUMBER(SEARCH("S26",[1]T2BD!$A$1:$Z$1000))*COLUMN([1]T2BD!$A$1:$Z$1000)))</f>
        <v>23</v>
      </c>
    </row>
    <row r="30" spans="1:5" x14ac:dyDescent="0.25">
      <c r="A30" t="s">
        <v>13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SUMPRODUCT(MAX(ISNUMBER(SEARCH("S26",[1]T1!$A$1:$Z$1000))*COLUMN([1]T1!$A$1:$Z$1000)))</f>
        <v>23</v>
      </c>
    </row>
    <row r="31" spans="1:5" x14ac:dyDescent="0.25">
      <c r="A31" t="s">
        <v>14</v>
      </c>
      <c r="B31" s="2" cm="1">
        <f t="array" ref="B31">INDEX(
[1]T1!$A$1:$Z$1000,D31,E31)</f>
        <v>2083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SUMPRODUCT(MAX(ISNUMBER(SEARCH("S26",[1]T1!$A$1:$Z$1000))*COLUMN([1]T1!$A$1:$Z$1000)))</f>
        <v>23</v>
      </c>
    </row>
    <row r="32" spans="1:5" x14ac:dyDescent="0.25">
      <c r="A32" t="s">
        <v>15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SUMPRODUCT(MAX(ISNUMBER(SEARCH("S26",[1]T3!$A$1:$Z$1000))*COLUMN([1]T3!$A$1:$Z$1000)))</f>
        <v>23</v>
      </c>
    </row>
    <row r="33" spans="1:5" x14ac:dyDescent="0.25">
      <c r="A33" t="s">
        <v>16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SUMPRODUCT(MAX(ISNUMBER(SEARCH("S26",[1]T3!$A$1:$Z$1000))*COLUMN([1]T3!$A$1:$Z$1000)))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BA6D-974B-4556-9FAD-F7B1BF6306BB}">
  <dimension ref="A1:E33"/>
  <sheetViews>
    <sheetView workbookViewId="0">
      <selection activeCell="A15" sqref="A15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18</v>
      </c>
      <c r="B2">
        <v>0</v>
      </c>
    </row>
    <row r="3" spans="1:5" x14ac:dyDescent="0.25">
      <c r="A3" t="s">
        <v>19</v>
      </c>
      <c r="B3" s="2" cm="1">
        <f t="array" ref="B3">INDEX(
[1]T2E!$A$1:$Z$1000,D3,E3)</f>
        <v>1900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SUMPRODUCT(MAX(ISNUMBER(SEARCH("W26",[1]T2E!$A$1:$Z$1000))*COLUMN([1]T2E!$A$1:$Z$1000)))</f>
        <v>24</v>
      </c>
    </row>
    <row r="4" spans="1:5" x14ac:dyDescent="0.25">
      <c r="A4" t="s">
        <v>20</v>
      </c>
      <c r="B4" s="2" cm="1">
        <f t="array" ref="B4">INDEX(
[1]T2E!$A$1:$Z$1000,D4,E4)</f>
        <v>1900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SUMPRODUCT(MAX(ISNUMBER(SEARCH("W26",[1]T2E!$A$1:$Z$1000))*COLUMN([1]T2E!$A$1:$Z$1000)))</f>
        <v>24</v>
      </c>
    </row>
    <row r="5" spans="1:5" x14ac:dyDescent="0.25">
      <c r="A5" t="s">
        <v>21</v>
      </c>
      <c r="B5" s="2" cm="1">
        <f t="array" ref="B5">INDEX(
[1]T2E!$A$1:$Z$1000,D5,E5)</f>
        <v>2240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SUMPRODUCT(MAX(ISNUMBER(SEARCH("W26",[1]T2E!$A$1:$Z$1000))*COLUMN([1]T2E!$A$1:$Z$1000)))</f>
        <v>24</v>
      </c>
    </row>
    <row r="6" spans="1:5" x14ac:dyDescent="0.25">
      <c r="A6" t="s">
        <v>22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SUMPRODUCT(MAX(ISNUMBER(SEARCH("W26",[1]T2E!$A$1:$Z$1000))*COLUMN([1]T2E!$A$1:$Z$1000)))</f>
        <v>24</v>
      </c>
    </row>
    <row r="7" spans="1:5" x14ac:dyDescent="0.25">
      <c r="A7" t="s">
        <v>23</v>
      </c>
      <c r="B7" s="2" cm="1">
        <f t="array" ref="B7">INDEX(
[1]T2E!$A$1:$Z$1000,D7,E7)</f>
        <v>1960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SUMPRODUCT(MAX(ISNUMBER(SEARCH("W26",[1]T2E!$A$1:$Z$1000))*COLUMN([1]T2E!$A$1:$Z$1000)))</f>
        <v>24</v>
      </c>
    </row>
    <row r="8" spans="1:5" x14ac:dyDescent="0.25">
      <c r="A8" t="s">
        <v>24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SUMPRODUCT(MAX(ISNUMBER(SEARCH("W26",[1]T2E!$A$1:$Z$1000))*COLUMN([1]T2E!$A$1:$Z$1000)))</f>
        <v>24</v>
      </c>
    </row>
    <row r="9" spans="1:5" x14ac:dyDescent="0.25">
      <c r="A9" t="s">
        <v>2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SUMPRODUCT(MAX(ISNUMBER(SEARCH("W26",[1]T2F!$A$1:$Z$1000))*COLUMN([1]T2F!$A$1:$Z$1000)))</f>
        <v>24</v>
      </c>
    </row>
    <row r="10" spans="1:5" x14ac:dyDescent="0.25">
      <c r="A10" t="s">
        <v>3</v>
      </c>
      <c r="B10" s="2" cm="1">
        <f t="array" ref="B10">INDEX(
[1]T2G!$A$1:$Z$1000,D10,E10)</f>
        <v>700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SUMPRODUCT(MAX(ISNUMBER(SEARCH("W26",[1]T2G!$A$1:$Z$1000))*COLUMN([1]T2G!$A$1:$Z$1000)))</f>
        <v>24</v>
      </c>
    </row>
    <row r="11" spans="1:5" x14ac:dyDescent="0.25">
      <c r="A11" t="s">
        <v>25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SUMPRODUCT(MAX(ISNUMBER(SEARCH("W26",[1]T2AC!$A$1:$Z$1000))*COLUMN([1]T2AC!$A$1:$Z$1000)))</f>
        <v>24</v>
      </c>
    </row>
    <row r="12" spans="1:5" x14ac:dyDescent="0.25">
      <c r="A12" t="s">
        <v>26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SUMPRODUCT(MAX(ISNUMBER(SEARCH("W26",[1]T2BD!$A$1:$Z$1000))*COLUMN([1]T2BD!$A$1:$Z$1000)))</f>
        <v>24</v>
      </c>
    </row>
    <row r="13" spans="1:5" x14ac:dyDescent="0.25">
      <c r="A13" t="s">
        <v>4</v>
      </c>
      <c r="B13" s="2" cm="1">
        <f t="array" ref="B13">INDEX(
[1]T3!$A$1:$Z$1000,D13,E13)</f>
        <v>1260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SUMPRODUCT(MAX(ISNUMBER(SEARCH("W26",[1]T3!$A$1:$Z$1000))*COLUMN([1]T3!$A$1:$Z$1000)))</f>
        <v>24</v>
      </c>
    </row>
    <row r="14" spans="1:5" x14ac:dyDescent="0.25">
      <c r="A14" t="s">
        <v>27</v>
      </c>
      <c r="B14" s="2" cm="1">
        <f t="array" ref="B14">INDEX(
[1]T1!$A$1:$Z$1000,D14,E14)</f>
        <v>2580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SUMPRODUCT(MAX(ISNUMBER(SEARCH("W26",[1]T1!$A$1:$Z$1000))*COLUMN([1]T1!$A$1:$Z$1000)))</f>
        <v>24</v>
      </c>
    </row>
    <row r="15" spans="1:5" x14ac:dyDescent="0.25">
      <c r="A15" t="s">
        <v>28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SUMPRODUCT(MAX(ISNUMBER(SEARCH("W26",[1]T1!$A$1:$Z$1000))*COLUMN([1]T1!$A$1:$Z$1000)))</f>
        <v>24</v>
      </c>
    </row>
    <row r="16" spans="1:5" x14ac:dyDescent="0.25">
      <c r="A16" t="s">
        <v>29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SUMPRODUCT(MAX(ISNUMBER(SEARCH("W26",[1]T1!$A$1:$Z$1000))*COLUMN([1]T1!$A$1:$Z$1000)))</f>
        <v>24</v>
      </c>
    </row>
    <row r="17" spans="1:5" x14ac:dyDescent="0.25">
      <c r="A17" t="s">
        <v>5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SUMPRODUCT(MAX(ISNUMBER(SEARCH("W26",[1]T2E!$A$1:$Z$1000))*COLUMN([1]T2E!$A$1:$Z$1000)))</f>
        <v>24</v>
      </c>
    </row>
    <row r="18" spans="1:5" x14ac:dyDescent="0.25">
      <c r="A18" t="s">
        <v>6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SUMPRODUCT(MAX(ISNUMBER(SEARCH("W26",[1]T2E!$A$1:$Z$1000))*COLUMN([1]T2E!$A$1:$Z$1000)))</f>
        <v>24</v>
      </c>
    </row>
    <row r="19" spans="1:5" x14ac:dyDescent="0.25">
      <c r="A19" t="s">
        <v>30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SUMPRODUCT(MAX(ISNUMBER(SEARCH("W26",[1]T2E!$A$1:$Z$1000))*COLUMN([1]T2E!$A$1:$Z$1000)))</f>
        <v>24</v>
      </c>
    </row>
    <row r="20" spans="1:5" x14ac:dyDescent="0.25">
      <c r="A20" t="s">
        <v>31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SUMPRODUCT(MAX(ISNUMBER(SEARCH("W26",[1]T2E!$A$1:$Z$1000))*COLUMN([1]T2E!$A$1:$Z$1000)))</f>
        <v>24</v>
      </c>
    </row>
    <row r="21" spans="1:5" x14ac:dyDescent="0.25">
      <c r="A21" t="s">
        <v>32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SUMPRODUCT(MAX(ISNUMBER(SEARCH("W26",[1]T2E!$A$1:$Z$1000))*COLUMN([1]T2E!$A$1:$Z$1000)))</f>
        <v>24</v>
      </c>
    </row>
    <row r="22" spans="1:5" x14ac:dyDescent="0.25">
      <c r="A22" t="s">
        <v>33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SUMPRODUCT(MAX(ISNUMBER(SEARCH("W26",[1]T2E!$A$1:$Z$1000))*COLUMN([1]T2E!$A$1:$Z$1000)))</f>
        <v>24</v>
      </c>
    </row>
    <row r="23" spans="1:5" x14ac:dyDescent="0.25">
      <c r="A23" t="s">
        <v>7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SUMPRODUCT(MAX(ISNUMBER(SEARCH("W26",[1]T2E!$A$1:$Z$1000))*COLUMN([1]T2E!$A$1:$Z$1000)))</f>
        <v>24</v>
      </c>
    </row>
    <row r="24" spans="1:5" x14ac:dyDescent="0.25">
      <c r="A24" t="s">
        <v>8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SUMPRODUCT(MAX(ISNUMBER(SEARCH("W26",[1]T2AC!$A$1:$Z$1000))*COLUMN([1]T2AC!$A$1:$Z$1000)))</f>
        <v>24</v>
      </c>
    </row>
    <row r="25" spans="1:5" x14ac:dyDescent="0.25">
      <c r="A25" t="s">
        <v>9</v>
      </c>
      <c r="B25" s="2" cm="1">
        <f t="array" ref="B25">INDEX(
[1]T2AC!$A$1:$Z$1000,D25,E25)</f>
        <v>2076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SUMPRODUCT(MAX(ISNUMBER(SEARCH("W26",[1]T2AC!$A$1:$Z$1000))*COLUMN([1]T2AC!$A$1:$Z$1000)))</f>
        <v>24</v>
      </c>
    </row>
    <row r="26" spans="1:5" x14ac:dyDescent="0.25">
      <c r="A26" t="s">
        <v>17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SUMPRODUCT(MAX(ISNUMBER(SEARCH("W26",[1]T2AC!$A$1:$Z$1000))*COLUMN([1]T2AC!$A$1:$Z$1000)))</f>
        <v>24</v>
      </c>
    </row>
    <row r="27" spans="1:5" x14ac:dyDescent="0.25">
      <c r="A27" t="s">
        <v>10</v>
      </c>
      <c r="B27" s="2" cm="1">
        <f t="array" ref="B27">INDEX(
[1]T2AC!$A$1:$Z$1000,D27,E27)</f>
        <v>0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SUMPRODUCT(MAX(ISNUMBER(SEARCH("W26",[1]T2AC!$A$1:$Z$1000))*COLUMN([1]T2AC!$A$1:$Z$1000)))</f>
        <v>24</v>
      </c>
    </row>
    <row r="28" spans="1:5" x14ac:dyDescent="0.25">
      <c r="A28" t="s">
        <v>11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SUMPRODUCT(MAX(ISNUMBER(SEARCH("W26",[1]T2BD!$A$1:$Z$1000))*COLUMN([1]T2BD!$A$1:$Z$1000)))</f>
        <v>24</v>
      </c>
    </row>
    <row r="29" spans="1:5" x14ac:dyDescent="0.25">
      <c r="A29" t="s">
        <v>12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SUMPRODUCT(MAX(ISNUMBER(SEARCH("W26",[1]T2BD!$A$1:$Z$1000))*COLUMN([1]T2BD!$A$1:$Z$1000)))</f>
        <v>24</v>
      </c>
    </row>
    <row r="30" spans="1:5" x14ac:dyDescent="0.25">
      <c r="A30" t="s">
        <v>13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SUMPRODUCT(MAX(ISNUMBER(SEARCH("W26",[1]T1!$A$1:$Z$1000))*COLUMN([1]T1!$A$1:$Z$1000)))</f>
        <v>24</v>
      </c>
    </row>
    <row r="31" spans="1:5" x14ac:dyDescent="0.25">
      <c r="A31" t="s">
        <v>14</v>
      </c>
      <c r="B31" s="2" cm="1">
        <f t="array" ref="B31">INDEX(
[1]T1!$A$1:$Z$1000,D31,E31)</f>
        <v>2518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SUMPRODUCT(MAX(ISNUMBER(SEARCH("W26",[1]T1!$A$1:$Z$1000))*COLUMN([1]T1!$A$1:$Z$1000)))</f>
        <v>24</v>
      </c>
    </row>
    <row r="32" spans="1:5" x14ac:dyDescent="0.25">
      <c r="A32" t="s">
        <v>15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SUMPRODUCT(MAX(ISNUMBER(SEARCH("W26",[1]T3!$A$1:$Z$1000))*COLUMN([1]T3!$A$1:$Z$1000)))</f>
        <v>24</v>
      </c>
    </row>
    <row r="33" spans="1:5" x14ac:dyDescent="0.25">
      <c r="A33" t="s">
        <v>16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SUMPRODUCT(MAX(ISNUMBER(SEARCH("W26",[1]T3!$A$1:$Z$1000))*COLUMN([1]T3!$A$1:$Z$1000)))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S26</vt:lpstr>
      <vt:lpstr>W26</vt:lpstr>
    </vt:vector>
  </TitlesOfParts>
  <Company>Groupe 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DEMANET Cedric</dc:creator>
  <cp:lastModifiedBy>DEMANET Cedric</cp:lastModifiedBy>
  <dcterms:created xsi:type="dcterms:W3CDTF">2026-07-20T14:05:00Z</dcterms:created>
  <dcterms:modified xsi:type="dcterms:W3CDTF">2026-07-29T08:40:31Z</dcterms:modified>
</cp:coreProperties>
</file>